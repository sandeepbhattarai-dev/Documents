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315f0736fd56457/Swasth mann testing/"/>
    </mc:Choice>
  </mc:AlternateContent>
  <xr:revisionPtr revIDLastSave="39" documentId="8_{96E6354A-32B7-42D5-BEA9-DAA3837AE2D4}" xr6:coauthVersionLast="47" xr6:coauthVersionMax="47" xr10:uidLastSave="{5AC0901C-D2E6-45F8-B576-3E63D5BF4D5A}"/>
  <bookViews>
    <workbookView xWindow="14295" yWindow="0" windowWidth="14610" windowHeight="16305" tabRatio="500" firstSheet="2" activeTab="7" xr2:uid="{00000000-000D-0000-FFFF-FFFF00000000}"/>
  </bookViews>
  <sheets>
    <sheet name="How to Use" sheetId="1" state="hidden" r:id="rId1"/>
    <sheet name="Summary" sheetId="2" state="hidden" r:id="rId2"/>
    <sheet name="Test Cases" sheetId="3" r:id="rId3"/>
    <sheet name="Test Matrix" sheetId="4" r:id="rId4"/>
    <sheet name="Module Details" sheetId="5" state="hidden" r:id="rId5"/>
    <sheet name="Authentication" sheetId="6" state="hidden" r:id="rId6"/>
    <sheet name="Auth Settings" sheetId="7" state="hidden" r:id="rId7"/>
    <sheet name="Bug Log" sheetId="8" r:id="rId8"/>
    <sheet name="Issues to Verify" sheetId="9" state="hidden" r:id="rId9"/>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7" i="4" l="1"/>
  <c r="C36" i="4"/>
  <c r="C35" i="4"/>
  <c r="C34" i="4"/>
  <c r="C33" i="4"/>
  <c r="C32" i="4"/>
  <c r="C31" i="4"/>
  <c r="C30" i="4"/>
  <c r="C29" i="4"/>
  <c r="C28" i="4"/>
  <c r="C27" i="4"/>
  <c r="C25" i="4"/>
  <c r="C24" i="4"/>
  <c r="C23" i="4"/>
  <c r="C22" i="4"/>
  <c r="C21" i="4"/>
  <c r="C20" i="4"/>
  <c r="C19" i="4"/>
  <c r="C18" i="4"/>
  <c r="C17" i="4"/>
  <c r="C16" i="4"/>
  <c r="C15" i="4"/>
  <c r="C14" i="4"/>
  <c r="C13" i="4"/>
  <c r="C12" i="4"/>
  <c r="C11" i="4"/>
  <c r="C10" i="4"/>
  <c r="C9" i="4"/>
  <c r="C8" i="4"/>
  <c r="C7" i="4"/>
  <c r="C6" i="4"/>
  <c r="C5" i="4"/>
  <c r="C4" i="4"/>
  <c r="C3" i="4"/>
  <c r="C2" i="4"/>
  <c r="E31" i="2"/>
  <c r="D31" i="2"/>
  <c r="C31" i="2"/>
  <c r="B31" i="2"/>
  <c r="F28" i="2"/>
  <c r="E28" i="2"/>
  <c r="D28" i="2"/>
  <c r="C28" i="2"/>
  <c r="B28" i="2"/>
  <c r="G28" i="2" s="1"/>
  <c r="F27" i="2"/>
  <c r="E27" i="2"/>
  <c r="D27" i="2"/>
  <c r="C27" i="2"/>
  <c r="B27" i="2"/>
  <c r="F26" i="2"/>
  <c r="E26" i="2"/>
  <c r="D26" i="2"/>
  <c r="C26" i="2"/>
  <c r="B26" i="2"/>
  <c r="F25" i="2"/>
  <c r="E25" i="2"/>
  <c r="D25" i="2"/>
  <c r="C25" i="2"/>
  <c r="B25" i="2"/>
  <c r="F24" i="2"/>
  <c r="E24" i="2"/>
  <c r="D24" i="2"/>
  <c r="C24" i="2"/>
  <c r="B24" i="2"/>
  <c r="F23" i="2"/>
  <c r="E23" i="2"/>
  <c r="D23" i="2"/>
  <c r="C23" i="2"/>
  <c r="B23" i="2"/>
  <c r="F22" i="2"/>
  <c r="E22" i="2"/>
  <c r="D22" i="2"/>
  <c r="C22" i="2"/>
  <c r="B22" i="2"/>
  <c r="F21" i="2"/>
  <c r="E21" i="2"/>
  <c r="D21" i="2"/>
  <c r="C21" i="2"/>
  <c r="B21" i="2"/>
  <c r="F20" i="2"/>
  <c r="E20" i="2"/>
  <c r="D20" i="2"/>
  <c r="C20" i="2"/>
  <c r="B20" i="2"/>
  <c r="F19" i="2"/>
  <c r="E19" i="2"/>
  <c r="D19" i="2"/>
  <c r="C19" i="2"/>
  <c r="B19" i="2"/>
  <c r="F18" i="2"/>
  <c r="E18" i="2"/>
  <c r="D18" i="2"/>
  <c r="C18" i="2"/>
  <c r="B18" i="2"/>
  <c r="F17" i="2"/>
  <c r="E17" i="2"/>
  <c r="D17" i="2"/>
  <c r="C17" i="2"/>
  <c r="B17" i="2"/>
  <c r="F16" i="2"/>
  <c r="E16" i="2"/>
  <c r="D16" i="2"/>
  <c r="C16" i="2"/>
  <c r="B16" i="2"/>
  <c r="F15" i="2"/>
  <c r="E15" i="2"/>
  <c r="D15" i="2"/>
  <c r="C15" i="2"/>
  <c r="B15" i="2"/>
  <c r="F14" i="2"/>
  <c r="E14" i="2"/>
  <c r="D14" i="2"/>
  <c r="C14" i="2"/>
  <c r="B14" i="2"/>
  <c r="F13" i="2"/>
  <c r="E13" i="2"/>
  <c r="D13" i="2"/>
  <c r="C13" i="2"/>
  <c r="B13" i="2"/>
  <c r="F12" i="2"/>
  <c r="E12" i="2"/>
  <c r="D12" i="2"/>
  <c r="C12" i="2"/>
  <c r="B12" i="2"/>
  <c r="F11" i="2"/>
  <c r="E11" i="2"/>
  <c r="D11" i="2"/>
  <c r="C11" i="2"/>
  <c r="B11" i="2"/>
  <c r="F10" i="2"/>
  <c r="E10" i="2"/>
  <c r="D10" i="2"/>
  <c r="C10" i="2"/>
  <c r="B10" i="2"/>
  <c r="F9" i="2"/>
  <c r="E9" i="2"/>
  <c r="D9" i="2"/>
  <c r="C9" i="2"/>
  <c r="B9" i="2"/>
  <c r="F8" i="2"/>
  <c r="E8" i="2"/>
  <c r="D8" i="2"/>
  <c r="C8" i="2"/>
  <c r="B8" i="2"/>
  <c r="F7" i="2"/>
  <c r="E7" i="2"/>
  <c r="D7" i="2"/>
  <c r="C7" i="2"/>
  <c r="B7" i="2"/>
  <c r="F6" i="2"/>
  <c r="E6" i="2"/>
  <c r="D6" i="2"/>
  <c r="C6" i="2"/>
  <c r="B6" i="2"/>
  <c r="F5" i="2"/>
  <c r="E5" i="2"/>
  <c r="D5" i="2"/>
  <c r="C5" i="2"/>
  <c r="B5" i="2"/>
  <c r="F4" i="2"/>
  <c r="E4" i="2"/>
  <c r="D4" i="2"/>
  <c r="C4" i="2"/>
  <c r="B4" i="2"/>
  <c r="G20" i="2" l="1"/>
  <c r="G21" i="2"/>
  <c r="G18" i="2"/>
  <c r="G22" i="2"/>
  <c r="G19" i="2"/>
  <c r="B29" i="2"/>
  <c r="G26" i="2"/>
  <c r="G23" i="2"/>
  <c r="G16" i="2"/>
  <c r="G15" i="2"/>
  <c r="G13" i="2"/>
  <c r="G17" i="2"/>
  <c r="D29" i="2"/>
  <c r="E29" i="2"/>
  <c r="F29" i="2"/>
  <c r="G11" i="2"/>
  <c r="C29" i="2"/>
  <c r="G31" i="2"/>
  <c r="G9" i="2"/>
  <c r="G27" i="2"/>
  <c r="G14" i="2"/>
  <c r="G6" i="2"/>
  <c r="G5" i="2"/>
  <c r="G25" i="2"/>
  <c r="G24" i="2"/>
  <c r="G8" i="2"/>
  <c r="G10" i="2"/>
  <c r="G7" i="2"/>
  <c r="G12" i="2"/>
  <c r="G4" i="2"/>
  <c r="G29" i="2" l="1"/>
</calcChain>
</file>

<file path=xl/sharedStrings.xml><?xml version="1.0" encoding="utf-8"?>
<sst xmlns="http://schemas.openxmlformats.org/spreadsheetml/2006/main" count="3099" uniqueCount="2139">
  <si>
    <t>Swasth Mann CMS - CRUD and Language Test Cases</t>
  </si>
  <si>
    <t>Every CRUD module (Add, View, Edit, Delete) works the same way, so each test case is written ONCE in the 'Test Cases' tab.</t>
  </si>
  <si>
    <t>1. Open the 'Test Cases' tab and read the steps.</t>
  </si>
  <si>
    <t>2. Go to the 'Test Matrix' tab. Each column is a module. Run each test case on each module and choose Pass, Fail, Blocked or N/A (if the feature does not exist in that module).</t>
  </si>
  <si>
    <t>3. For every Fail, add a row in the 'Bug Log' tab with the Module, Test Case ID, what you saw and the expected result.</t>
  </si>
  <si>
    <t>4. Check 'Module Details' for module-specific fields and linked modules.</t>
  </si>
  <si>
    <t>5. The 'Summary' tab updates automatically.</t>
  </si>
  <si>
    <t>How to find where the bug is: a Fail in ONE column = bug in that module. A Fail across MANY columns in the same row (see Fail Count) = common bug in shared code.</t>
  </si>
  <si>
    <t>Language: run the LG test cases in both English and Nepali. Content missing in one language must fall back to the other.</t>
  </si>
  <si>
    <t>Authentication (login, lockout, rate limits, forgot password, session timeout) is tested in the separate 'Authentication' tab. Fill Actual Result and Status there. Limits and timings are noted in the 'Auth Settings' tab.</t>
  </si>
  <si>
    <t>Swasth Mann CMS - CRUD Test Summary</t>
  </si>
  <si>
    <t>Module</t>
  </si>
  <si>
    <t>Total</t>
  </si>
  <si>
    <t>Pass</t>
  </si>
  <si>
    <t>Fail</t>
  </si>
  <si>
    <t>Blocked</t>
  </si>
  <si>
    <t>N/A</t>
  </si>
  <si>
    <t>Not Run</t>
  </si>
  <si>
    <t>Screening Feedback</t>
  </si>
  <si>
    <t>Suggestions</t>
  </si>
  <si>
    <t>Questionnaires</t>
  </si>
  <si>
    <t>Emergency Contacts</t>
  </si>
  <si>
    <t>FAQs</t>
  </si>
  <si>
    <t>Health Centers</t>
  </si>
  <si>
    <t>Videos</t>
  </si>
  <si>
    <t>About Us</t>
  </si>
  <si>
    <t>Testimonials</t>
  </si>
  <si>
    <t>Self Care</t>
  </si>
  <si>
    <t>Video Categories</t>
  </si>
  <si>
    <t>Other Resources</t>
  </si>
  <si>
    <t>Resource Categories</t>
  </si>
  <si>
    <t>Events</t>
  </si>
  <si>
    <t>About Us Categories</t>
  </si>
  <si>
    <t>Option Groups</t>
  </si>
  <si>
    <t>Question Types</t>
  </si>
  <si>
    <t>Suggestion Categories</t>
  </si>
  <si>
    <t>Health Center Categories</t>
  </si>
  <si>
    <t>Health Center Services</t>
  </si>
  <si>
    <t>Health Center Specialists</t>
  </si>
  <si>
    <t>Health Center Departments</t>
  </si>
  <si>
    <t>Schools</t>
  </si>
  <si>
    <t>States</t>
  </si>
  <si>
    <t>Districts</t>
  </si>
  <si>
    <t>Authentication (separate tab)</t>
  </si>
  <si>
    <t>-</t>
  </si>
  <si>
    <t>Test Case ID</t>
  </si>
  <si>
    <t>Area</t>
  </si>
  <si>
    <t>Scenario</t>
  </si>
  <si>
    <t>Precondition</t>
  </si>
  <si>
    <t>Steps</t>
  </si>
  <si>
    <t>Expected Result</t>
  </si>
  <si>
    <t>Applies To</t>
  </si>
  <si>
    <t>CR-01</t>
  </si>
  <si>
    <t>List</t>
  </si>
  <si>
    <t>Open module page</t>
  </si>
  <si>
    <t>Logged in</t>
  </si>
  <si>
    <t>1. Click the module in the sidebar</t>
  </si>
  <si>
    <t>Page opens with the correct title, list and Add button. Sidebar item is highlighted</t>
  </si>
  <si>
    <t>All</t>
  </si>
  <si>
    <t>CR-02</t>
  </si>
  <si>
    <t>List shows correct data</t>
  </si>
  <si>
    <t>Records exist</t>
  </si>
  <si>
    <t>1. Check number, title and date of each card</t>
  </si>
  <si>
    <t>Data is correct and complete. Default sort order is consistent</t>
  </si>
  <si>
    <t>CR-03</t>
  </si>
  <si>
    <t>Search</t>
  </si>
  <si>
    <t>1. Type a word in the search box</t>
  </si>
  <si>
    <t>Only matching records are shown</t>
  </si>
  <si>
    <t>CR-04</t>
  </si>
  <si>
    <t>Search with no match</t>
  </si>
  <si>
    <t>Module page is open</t>
  </si>
  <si>
    <t>1. Type text that does not exist</t>
  </si>
  <si>
    <t>'No records found' message is shown</t>
  </si>
  <si>
    <t>CR-05</t>
  </si>
  <si>
    <t>Grid and list view toggle</t>
  </si>
  <si>
    <t>1. Click list icon
2. Click grid icon</t>
  </si>
  <si>
    <t>Layout changes and the same records are shown</t>
  </si>
  <si>
    <t>CR-06</t>
  </si>
  <si>
    <t>Pagination and page size</t>
  </si>
  <si>
    <t>More than 10 records</t>
  </si>
  <si>
    <t>1. Click Next, Previous, First, Last
2. Change Page Size</t>
  </si>
  <si>
    <t>'Showing 1-10 of N' and page count are correct and all buttons work</t>
  </si>
  <si>
    <t>CR-07</t>
  </si>
  <si>
    <t>Empty state</t>
  </si>
  <si>
    <t>Module with no records</t>
  </si>
  <si>
    <t>1. Open the module</t>
  </si>
  <si>
    <t>Empty message is shown with no broken layout</t>
  </si>
  <si>
    <t>CR-08</t>
  </si>
  <si>
    <t>Create</t>
  </si>
  <si>
    <t>Open Add form</t>
  </si>
  <si>
    <t>1. Click the Add button</t>
  </si>
  <si>
    <t>Add form opens with all fields and the correct title</t>
  </si>
  <si>
    <t>CR-09</t>
  </si>
  <si>
    <t>Add with valid data</t>
  </si>
  <si>
    <t>Add form is open</t>
  </si>
  <si>
    <t>1. Fill all fields with valid data
2. Click Save</t>
  </si>
  <si>
    <t>Record is saved, form closes, success message shown and the record appears in the list</t>
  </si>
  <si>
    <t>CR-10</t>
  </si>
  <si>
    <t>Required field validation</t>
  </si>
  <si>
    <t>1. Leave required fields empty
2. Click Save</t>
  </si>
  <si>
    <t>Error message shows for each required field and nothing is saved. Errors should appear only after Save</t>
  </si>
  <si>
    <t>CR-11</t>
  </si>
  <si>
    <t>Cancel or close Add form</t>
  </si>
  <si>
    <t>1. Enter some data
2. Click Cancel
3. Reopen and click X</t>
  </si>
  <si>
    <t>Form closes and no record is added</t>
  </si>
  <si>
    <t>CR-12</t>
  </si>
  <si>
    <t>Duplicate entry</t>
  </si>
  <si>
    <t>A record already exists</t>
  </si>
  <si>
    <t>1. Add a record with the same name/value</t>
  </si>
  <si>
    <t>Duplicate is blocked with a clear message (or allowed as per design)</t>
  </si>
  <si>
    <t>Where applicable</t>
  </si>
  <si>
    <t>CR-13</t>
  </si>
  <si>
    <t>Dropdown fields load</t>
  </si>
  <si>
    <t>1. Open each dropdown (category, state, etc.)</t>
  </si>
  <si>
    <t>Correct values load and the selected value is saved</t>
  </si>
  <si>
    <t>CR-14</t>
  </si>
  <si>
    <t>File or image upload</t>
  </si>
  <si>
    <t>1. Upload a valid file
2. Upload an invalid type or very large file</t>
  </si>
  <si>
    <t>Valid file is saved and shown. Invalid file is rejected with a message</t>
  </si>
  <si>
    <t>CR-15</t>
  </si>
  <si>
    <t>Read</t>
  </si>
  <si>
    <t>View or expand details</t>
  </si>
  <si>
    <t>1. Click a card or the expand arrow</t>
  </si>
  <si>
    <t>Full details are shown correctly</t>
  </si>
  <si>
    <t>CR-16</t>
  </si>
  <si>
    <t>3-dot Actions menu</t>
  </si>
  <si>
    <t>1. Click the 3-dot icon on a card</t>
  </si>
  <si>
    <t>Correct options are shown (Edit, Delete, etc.)</t>
  </si>
  <si>
    <t>CR-17</t>
  </si>
  <si>
    <t>Update</t>
  </si>
  <si>
    <t>Edit form opens pre-filled</t>
  </si>
  <si>
    <t>1. Click 3-dot menu
2. Click Edit</t>
  </si>
  <si>
    <t>Form title matches the module and all fields show the existing data</t>
  </si>
  <si>
    <t>CR-18</t>
  </si>
  <si>
    <t>Edit and save</t>
  </si>
  <si>
    <t>Edit form is open</t>
  </si>
  <si>
    <t>1. Change a value
2. Click Save</t>
  </si>
  <si>
    <t>Changes are saved and shown in the list. Other records are not affected</t>
  </si>
  <si>
    <t>CR-19</t>
  </si>
  <si>
    <t>Cancel edit</t>
  </si>
  <si>
    <t>1. Change a value
2. Click Cancel</t>
  </si>
  <si>
    <t>Form closes and the old value is kept</t>
  </si>
  <si>
    <t>CR-20</t>
  </si>
  <si>
    <t>Delete</t>
  </si>
  <si>
    <t>Delete confirmation</t>
  </si>
  <si>
    <t>1. Click 3-dot menu
2. Click Delete</t>
  </si>
  <si>
    <t>Confirmation popup asks before deleting</t>
  </si>
  <si>
    <t>CR-21</t>
  </si>
  <si>
    <t>Confirm delete</t>
  </si>
  <si>
    <t>Delete popup is open</t>
  </si>
  <si>
    <t>1. Click the confirm button</t>
  </si>
  <si>
    <t>Record is removed (or marked disabled, as per design), count updates and success message shown</t>
  </si>
  <si>
    <t>CR-22</t>
  </si>
  <si>
    <t>Cancel delete</t>
  </si>
  <si>
    <t>1. Click Cancel</t>
  </si>
  <si>
    <t>Popup closes and the record stays</t>
  </si>
  <si>
    <t>CR-23</t>
  </si>
  <si>
    <t>Delete a record linked to another module</t>
  </si>
  <si>
    <t>Record is used elsewhere (e.g. category in use)</t>
  </si>
  <si>
    <t>1. Try to delete it</t>
  </si>
  <si>
    <t>Deletion is blocked with a message, or linked data is handled without errors</t>
  </si>
  <si>
    <t>CR-24</t>
  </si>
  <si>
    <t>App Sync</t>
  </si>
  <si>
    <t>Change reflects in the app</t>
  </si>
  <si>
    <t>Live Content banner is shown</t>
  </si>
  <si>
    <t>1. Add, edit or delete a record
2. Open the app or website</t>
  </si>
  <si>
    <t>Change is reflected immediately</t>
  </si>
  <si>
    <t>LG-01</t>
  </si>
  <si>
    <t>Language</t>
  </si>
  <si>
    <t>Switch language from top bar</t>
  </si>
  <si>
    <t>1. Select Nepali from the language dropdown</t>
  </si>
  <si>
    <t>Labels and list content change to Nepali</t>
  </si>
  <si>
    <t>LG-02</t>
  </si>
  <si>
    <t>Add in English only</t>
  </si>
  <si>
    <t>English selected</t>
  </si>
  <si>
    <t>1. Add a record in English only
2. Switch to Nepali</t>
  </si>
  <si>
    <t>Record shows in English as fallback</t>
  </si>
  <si>
    <t>LG-03</t>
  </si>
  <si>
    <t>Add Nepali content to an existing record</t>
  </si>
  <si>
    <t>English record exists</t>
  </si>
  <si>
    <t>1. Select Nepali
2. Edit the record and add Nepali text
3. Save</t>
  </si>
  <si>
    <t>Nepali text is saved and shown in the Nepali view. English view is unchanged</t>
  </si>
  <si>
    <t>LG-04</t>
  </si>
  <si>
    <t>Nepali-only record</t>
  </si>
  <si>
    <t>Nepali selected</t>
  </si>
  <si>
    <t>1. Add a record in Nepali only
2. Switch to English</t>
  </si>
  <si>
    <t>Record shows in Nepali as fallback (or as per design)</t>
  </si>
  <si>
    <t>LG-05</t>
  </si>
  <si>
    <t>Edit does not affect the other language</t>
  </si>
  <si>
    <t>Record has English and Nepali</t>
  </si>
  <si>
    <t>1. Edit the English text
2. Check the Nepali text</t>
  </si>
  <si>
    <t>Nepali text is unchanged (and the other way round)</t>
  </si>
  <si>
    <t>LG-06</t>
  </si>
  <si>
    <t>Language badge in Add and Edit form</t>
  </si>
  <si>
    <t>Add or Edit form is open</t>
  </si>
  <si>
    <t>1. Check the language badge and hover the info icon
2. Change the top-bar language and reopen</t>
  </si>
  <si>
    <t>Badge and message match the selected language (English or Nepali)</t>
  </si>
  <si>
    <t>LG-07</t>
  </si>
  <si>
    <t>Nepali text saves and displays correctly</t>
  </si>
  <si>
    <t>1. Enter Nepali text with special characters
2. Save and reopen</t>
  </si>
  <si>
    <t>Text shows correctly with no broken characters (????)</t>
  </si>
  <si>
    <t>LG-08</t>
  </si>
  <si>
    <t>Search in each language</t>
  </si>
  <si>
    <t>Records in both languages</t>
  </si>
  <si>
    <t>1. Search with English text
2. Switch to Nepali and search with Nepali text</t>
  </si>
  <si>
    <t>Matching records are found in the selected language</t>
  </si>
  <si>
    <t>LG-09</t>
  </si>
  <si>
    <t>Delete removes both language versions</t>
  </si>
  <si>
    <t>1. Delete the record
2. Check English and Nepali views</t>
  </si>
  <si>
    <t>Record is gone from both languages</t>
  </si>
  <si>
    <t>LG-10</t>
  </si>
  <si>
    <t>Dropdown values in selected language</t>
  </si>
  <si>
    <t>Category or linked data has English and Nepali</t>
  </si>
  <si>
    <t>1. Open a dropdown in English
2. Open it in Nepali</t>
  </si>
  <si>
    <t>Values show in the selected language, with fallback if missing</t>
  </si>
  <si>
    <t>LG-11</t>
  </si>
  <si>
    <t>Language stays after Save and refresh</t>
  </si>
  <si>
    <t>1. Save a record
2. Refresh the page</t>
  </si>
  <si>
    <t>Selected language stays and content shows correctly</t>
  </si>
  <si>
    <t>Fail Count</t>
  </si>
  <si>
    <t>Group</t>
  </si>
  <si>
    <t>Module-specific fields to check</t>
  </si>
  <si>
    <t>Linked module to check</t>
  </si>
  <si>
    <t>Remarks</t>
  </si>
  <si>
    <t>Main</t>
  </si>
  <si>
    <t>Feedback text, date, rating (if any)</t>
  </si>
  <si>
    <t>Screening Reports</t>
  </si>
  <si>
    <t>Mark N/A where the feature is view-only</t>
  </si>
  <si>
    <t>Suggestion text, category, date</t>
  </si>
  <si>
    <t>Questions, answer options, scores, question type</t>
  </si>
  <si>
    <t>Option Groups, Question Types</t>
  </si>
  <si>
    <t>Score change must show correct risk level in Reports</t>
  </si>
  <si>
    <t>Name, phone number format</t>
  </si>
  <si>
    <t>Question, answer (rich text)</t>
  </si>
  <si>
    <t>Edit form title must say FAQ</t>
  </si>
  <si>
    <t>Name, address, phone, state, district, category, services, specialists, departments</t>
  </si>
  <si>
    <t>States, Districts, all Health Center masters</t>
  </si>
  <si>
    <t>Most linked module</t>
  </si>
  <si>
    <t>Title, video link, thumbnail, category</t>
  </si>
  <si>
    <t>Link must open the video</t>
  </si>
  <si>
    <t>Title, content, category</t>
  </si>
  <si>
    <t>Configure</t>
  </si>
  <si>
    <t>Name, message, photo</t>
  </si>
  <si>
    <t>Title, content, image</t>
  </si>
  <si>
    <t>Category name</t>
  </si>
  <si>
    <t>Deleting a category in use</t>
  </si>
  <si>
    <t>Title, file or link, category</t>
  </si>
  <si>
    <t>File must open or download</t>
  </si>
  <si>
    <t>Title, date and time, venue, description</t>
  </si>
  <si>
    <t>Past and future date handling</t>
  </si>
  <si>
    <t>Option names, score values</t>
  </si>
  <si>
    <t>Editing must not break old screenings</t>
  </si>
  <si>
    <t>Type name</t>
  </si>
  <si>
    <t>Service name</t>
  </si>
  <si>
    <t>Deleting a service in use</t>
  </si>
  <si>
    <t>Specialist name</t>
  </si>
  <si>
    <t>Deleting a specialist in use</t>
  </si>
  <si>
    <t>Department name</t>
  </si>
  <si>
    <t>Deleting a department in use</t>
  </si>
  <si>
    <t>School name, state, district</t>
  </si>
  <si>
    <t>States, Districts</t>
  </si>
  <si>
    <t>Used in school screenings</t>
  </si>
  <si>
    <t>State name</t>
  </si>
  <si>
    <t>Districts, Health Centers, Schools</t>
  </si>
  <si>
    <t>Deleting a state with districts</t>
  </si>
  <si>
    <t>District name, state</t>
  </si>
  <si>
    <t>States, Health Centers, Schools</t>
  </si>
  <si>
    <t>Must match the selected state</t>
  </si>
  <si>
    <t>Authentication</t>
  </si>
  <si>
    <t>Auth</t>
  </si>
  <si>
    <t>Login, lockout, rate limits, forgot password, session timeout</t>
  </si>
  <si>
    <t>Manage Users</t>
  </si>
  <si>
    <t>See Auth Settings tab</t>
  </si>
  <si>
    <t>Actual Result</t>
  </si>
  <si>
    <t>Status</t>
  </si>
  <si>
    <t>AU-01</t>
  </si>
  <si>
    <t>Auth - Login</t>
  </si>
  <si>
    <t>Login page loads</t>
  </si>
  <si>
    <t>Not logged in</t>
  </si>
  <si>
    <t>1. Open the admin panel URL</t>
  </si>
  <si>
    <t>Page shows 'Login to Account', Username, Password (masked), 'Forgot password?' link and Sign In button</t>
  </si>
  <si>
    <t>AU-02</t>
  </si>
  <si>
    <t>Valid login</t>
  </si>
  <si>
    <t>Active user exists</t>
  </si>
  <si>
    <t>1. Enter valid username (phone number) and password
2. Click Sign In</t>
  </si>
  <si>
    <t>User lands on the Dashboard. Repeat for each role (SuperAdmin, Admin, etc.)</t>
  </si>
  <si>
    <t>AU-03</t>
  </si>
  <si>
    <t>Wrong password</t>
  </si>
  <si>
    <t>1. Enter valid username and a wrong password
2. Click Sign In</t>
  </si>
  <si>
    <t>Error message is shown and the user stays on the login page</t>
  </si>
  <si>
    <t>AU-04</t>
  </si>
  <si>
    <t>Unregistered username</t>
  </si>
  <si>
    <t>None</t>
  </si>
  <si>
    <t>1. Enter a phone number that is not registered
2. Click Sign In</t>
  </si>
  <si>
    <t>Error message is shown. It does not reveal whether the username or the password was wrong</t>
  </si>
  <si>
    <t>AU-05</t>
  </si>
  <si>
    <t>Empty fields</t>
  </si>
  <si>
    <t>1. Leave username and password empty
2. Click Sign In</t>
  </si>
  <si>
    <t>Required-field messages are shown and login does not happen</t>
  </si>
  <si>
    <t>AU-06</t>
  </si>
  <si>
    <t>Disabled user</t>
  </si>
  <si>
    <t>Disabled user exists (Manage Users)</t>
  </si>
  <si>
    <t>1. Enter the correct credentials of a disabled user</t>
  </si>
  <si>
    <t>Login is blocked with a clear message</t>
  </si>
  <si>
    <t>AU-07</t>
  </si>
  <si>
    <t>Menus after login by role</t>
  </si>
  <si>
    <t>Users of different roles exist</t>
  </si>
  <si>
    <t>1. Log in with each role</t>
  </si>
  <si>
    <t>Each role sees only the menus it is allowed to use</t>
  </si>
  <si>
    <t>AU-08</t>
  </si>
  <si>
    <t>Open login page while logged in</t>
  </si>
  <si>
    <t>1. Open the login URL in the same browser</t>
  </si>
  <si>
    <t>User is redirected to the Dashboard</t>
  </si>
  <si>
    <t>AU-09</t>
  </si>
  <si>
    <t>Auth - Lockout and Rate Limit</t>
  </si>
  <si>
    <t>Account lock after wrong attempts</t>
  </si>
  <si>
    <t>Active user. Note allowed attempts (N) in Auth Settings</t>
  </si>
  <si>
    <t>1. Enter a wrong password N times</t>
  </si>
  <si>
    <t>After N failed attempts: 'Account is temporarily locked due to multiple failed login attempts. Try again in 10 minute(s).'</t>
  </si>
  <si>
    <t>AU-10</t>
  </si>
  <si>
    <t>Correct password while locked</t>
  </si>
  <si>
    <t>Account is locked</t>
  </si>
  <si>
    <t>1. Enter the correct password</t>
  </si>
  <si>
    <t>Login is still blocked and the lock message is shown</t>
  </si>
  <si>
    <t>AU-11</t>
  </si>
  <si>
    <t>Lock countdown</t>
  </si>
  <si>
    <t>1. Wait 5 minutes
2. Try to log in again</t>
  </si>
  <si>
    <t>Message shows the remaining time (about 5 minute(s)), not always 10</t>
  </si>
  <si>
    <t>AU-12</t>
  </si>
  <si>
    <t>Login after lock time ends</t>
  </si>
  <si>
    <t>Lock time (10 minutes) has passed</t>
  </si>
  <si>
    <t>1. Log in with the correct password</t>
  </si>
  <si>
    <t>Login works</t>
  </si>
  <si>
    <t>AU-13</t>
  </si>
  <si>
    <t>Wrong-attempt counter resets after successful login</t>
  </si>
  <si>
    <t>Active user</t>
  </si>
  <si>
    <t>1. Enter a wrong password N-1 times
2. Log in correctly
3. Log out
4. Enter a wrong password once</t>
  </si>
  <si>
    <t>Account is not locked and the count starts again from 1</t>
  </si>
  <si>
    <t>AU-14</t>
  </si>
  <si>
    <t>Lock applies only to that account</t>
  </si>
  <si>
    <t>One account is locked</t>
  </si>
  <si>
    <t>1. Log in with another account</t>
  </si>
  <si>
    <t>The other account logs in normally</t>
  </si>
  <si>
    <t>AU-15</t>
  </si>
  <si>
    <t>Lock cannot be bypassed</t>
  </si>
  <si>
    <t>1. Refresh the page
2. Try in another browser or incognito</t>
  </si>
  <si>
    <t>Account is still locked</t>
  </si>
  <si>
    <t>AU-16</t>
  </si>
  <si>
    <t>Login rate limit is hit</t>
  </si>
  <si>
    <t>Login page is open</t>
  </si>
  <si>
    <t>1. Submit login requests many times quickly (also with different usernames)</t>
  </si>
  <si>
    <t>After the limit, a rate-limit message is shown and login is blocked for a while. Note the limit in Auth Settings</t>
  </si>
  <si>
    <t>AU-17</t>
  </si>
  <si>
    <t>Login rate limit lifts</t>
  </si>
  <si>
    <t>1. Wait for the time stated
2. Log in</t>
  </si>
  <si>
    <t>Login works again</t>
  </si>
  <si>
    <t>AU-18</t>
  </si>
  <si>
    <t>Auth - Forgot Password</t>
  </si>
  <si>
    <t>Open Forgot Password</t>
  </si>
  <si>
    <t>1. Click 'Forgot password?'</t>
  </si>
  <si>
    <t>Page shows Phone Number field, Send OTP and Back buttons</t>
  </si>
  <si>
    <t>AU-19</t>
  </si>
  <si>
    <t>Send OTP to a registered number</t>
  </si>
  <si>
    <t>1. Enter the registered phone number
2. Click Send OTP</t>
  </si>
  <si>
    <t>A 6-digit OTP is received and the 'Set A New Password' page opens</t>
  </si>
  <si>
    <t>AU-20</t>
  </si>
  <si>
    <t>Empty phone number</t>
  </si>
  <si>
    <t>Forgot Password page is open</t>
  </si>
  <si>
    <t>1. Leave the phone number empty
2. Click Send OTP</t>
  </si>
  <si>
    <t>Required message is shown and no OTP is sent</t>
  </si>
  <si>
    <t>AU-21</t>
  </si>
  <si>
    <t>Invalid phone number</t>
  </si>
  <si>
    <t>1. Enter letters or a wrong-length number
2. Click Send OTP</t>
  </si>
  <si>
    <t>Error message is shown and no OTP is sent</t>
  </si>
  <si>
    <t>AU-22</t>
  </si>
  <si>
    <t>Unregistered or disabled number</t>
  </si>
  <si>
    <t>1. Enter an unregistered number
2. Enter a disabled user's number</t>
  </si>
  <si>
    <t>OTP is not sent, and a clear or generic message is shown with no system error</t>
  </si>
  <si>
    <t>AU-23</t>
  </si>
  <si>
    <t>OTP request rate limit is hit</t>
  </si>
  <si>
    <t>1. Click Send OTP again and again until the limit is reached</t>
  </si>
  <si>
    <t>'Too many requests right now - please try again in a little while.' is shown and no more OTPs are sent. Note the limit in Auth Settings</t>
  </si>
  <si>
    <t>AU-24</t>
  </si>
  <si>
    <t>OTP rate limit lifts</t>
  </si>
  <si>
    <t>OTP rate limit is hit</t>
  </si>
  <si>
    <t>1. Wait for the block time
2. Click Send OTP</t>
  </si>
  <si>
    <t>OTP is sent again</t>
  </si>
  <si>
    <t>AU-25</t>
  </si>
  <si>
    <t>Back button on Forgot Password</t>
  </si>
  <si>
    <t>1. Click Back</t>
  </si>
  <si>
    <t>User returns to the login page</t>
  </si>
  <si>
    <t>AU-26</t>
  </si>
  <si>
    <t>Reset password on a locked account</t>
  </si>
  <si>
    <t>1. Reset the password using OTP
2. Try to log in</t>
  </si>
  <si>
    <t>Behaviour is as designed (stays locked or gets unlocked). Note what happens</t>
  </si>
  <si>
    <t>AU-27</t>
  </si>
  <si>
    <t>Auth - Set New Password</t>
  </si>
  <si>
    <t>Page elements and resend timer</t>
  </si>
  <si>
    <t>OTP is sent</t>
  </si>
  <si>
    <t>1. Check the page</t>
  </si>
  <si>
    <t>OTP Code, New Password (min 6 characters), Confirm Password, Reset Password and Back are shown, and the Resend countdown (e.g. 58s) is running</t>
  </si>
  <si>
    <t>AU-28</t>
  </si>
  <si>
    <t>Resend OTP</t>
  </si>
  <si>
    <t>Set New Password page is open</t>
  </si>
  <si>
    <t>1. Try Resend while the timer runs
2. Wait until it ends and click Resend</t>
  </si>
  <si>
    <t>Resend is disabled while the timer runs. After it ends, a new OTP is sent and the timer restarts</t>
  </si>
  <si>
    <t>AU-29</t>
  </si>
  <si>
    <t>Old OTP after resend</t>
  </si>
  <si>
    <t>OTP was resent</t>
  </si>
  <si>
    <t>1. Enter the first (old) OTP
2. Enter the new OTP</t>
  </si>
  <si>
    <t>Old OTP is rejected and the new OTP works</t>
  </si>
  <si>
    <t>AU-30</t>
  </si>
  <si>
    <t>Valid password reset</t>
  </si>
  <si>
    <t>Valid OTP received</t>
  </si>
  <si>
    <t>1. Enter OTP, new password and the same confirm password
2. Click Reset Password
3. Log in with the new password</t>
  </si>
  <si>
    <t>Success message, user goes to login, the new password works and the old password does not</t>
  </si>
  <si>
    <t>AU-31</t>
  </si>
  <si>
    <t>Wrong OTP</t>
  </si>
  <si>
    <t>1. Enter a wrong OTP
2. Click Reset Password</t>
  </si>
  <si>
    <t>Error message is shown and the password is not changed</t>
  </si>
  <si>
    <t>AU-32</t>
  </si>
  <si>
    <t>Expired OTP</t>
  </si>
  <si>
    <t>OTP is older than its validity time</t>
  </si>
  <si>
    <t>1. Wait beyond the OTP validity
2. Enter the OTP</t>
  </si>
  <si>
    <t>'OTP expired' or similar message is shown and the password is not changed</t>
  </si>
  <si>
    <t>AU-33</t>
  </si>
  <si>
    <t>Wrong OTP attempts limit</t>
  </si>
  <si>
    <t>1. Enter a wrong OTP again and again</t>
  </si>
  <si>
    <t>After the limit, more attempts are blocked or a new OTP is required</t>
  </si>
  <si>
    <t>AU-34</t>
  </si>
  <si>
    <t>OTP field accepts 6 digits only</t>
  </si>
  <si>
    <t>1. Type letters, symbols and more than 6 digits</t>
  </si>
  <si>
    <t>Only 6 digits are accepted</t>
  </si>
  <si>
    <t>AU-35</t>
  </si>
  <si>
    <t>Password shorter than 6 characters</t>
  </si>
  <si>
    <t>1. Enter a valid OTP and a 5-character password
2. Click Reset Password</t>
  </si>
  <si>
    <t>AU-36</t>
  </si>
  <si>
    <t>Password and Confirm Password do not match</t>
  </si>
  <si>
    <t>1. Enter different values
2. Click Reset Password</t>
  </si>
  <si>
    <t>AU-37</t>
  </si>
  <si>
    <t>1. Leave all fields empty
2. Click Reset Password</t>
  </si>
  <si>
    <t>Required-field messages are shown</t>
  </si>
  <si>
    <t>AU-38</t>
  </si>
  <si>
    <t>Show or hide password (eye icon)</t>
  </si>
  <si>
    <t>1. Click the eye icon on both password fields</t>
  </si>
  <si>
    <t>Password is shown and hidden correctly</t>
  </si>
  <si>
    <t>AU-39</t>
  </si>
  <si>
    <t>OTP cannot be reused</t>
  </si>
  <si>
    <t>Password was reset with an OTP</t>
  </si>
  <si>
    <t>1. Use the same OTP again</t>
  </si>
  <si>
    <t>OTP is rejected</t>
  </si>
  <si>
    <t>AU-40</t>
  </si>
  <si>
    <t>Auth - Session</t>
  </si>
  <si>
    <t>No logout while user is active</t>
  </si>
  <si>
    <t>1. Keep using the panel (click, search, open pages) at least every 10 minutes for 40 minutes</t>
  </si>
  <si>
    <t>User is not logged out, because activity restarts the 30-minute timer</t>
  </si>
  <si>
    <t>AU-41</t>
  </si>
  <si>
    <t>Auto logout after 30 minutes of no activity</t>
  </si>
  <si>
    <t>1. Do nothing for 30 minutes
2. Click anything</t>
  </si>
  <si>
    <t>User is logged out and taken to the login page</t>
  </si>
  <si>
    <t>AU-42</t>
  </si>
  <si>
    <t>Still logged in just before 30 minutes</t>
  </si>
  <si>
    <t>1. Stay idle for 28 minutes
2. Click anything</t>
  </si>
  <si>
    <t>User is still logged in</t>
  </si>
  <si>
    <t>AU-43</t>
  </si>
  <si>
    <t>Timer restarts after activity</t>
  </si>
  <si>
    <t>1. Work at minute 20
2. Then stay idle</t>
  </si>
  <si>
    <t>Logout happens 30 minutes after the last activity (about minute 50), not at minute 30</t>
  </si>
  <si>
    <t>AU-44</t>
  </si>
  <si>
    <t>Action after session expires</t>
  </si>
  <si>
    <t>Session expired, page still open (try with an Add form open)</t>
  </si>
  <si>
    <t>1. Click Save or a filter</t>
  </si>
  <si>
    <t>User is taken to login, nothing is saved, and there is no error or blank screen</t>
  </si>
  <si>
    <t>AU-45</t>
  </si>
  <si>
    <t>Login again after expiry</t>
  </si>
  <si>
    <t>Session expired</t>
  </si>
  <si>
    <t>1. Log in again</t>
  </si>
  <si>
    <t>Login works and the Dashboard loads with fresh data</t>
  </si>
  <si>
    <t>AU-46</t>
  </si>
  <si>
    <t>Multiple tabs</t>
  </si>
  <si>
    <t>Two tabs open in the same browser</t>
  </si>
  <si>
    <t>1. Work only in tab 2 for 20 minutes
2. Leave tab 1 idle
3. Log out in one tab</t>
  </si>
  <si>
    <t>Activity in one tab keeps the session alive. Logout in one tab logs out the other</t>
  </si>
  <si>
    <t>AU-47</t>
  </si>
  <si>
    <t>Auth - Logout</t>
  </si>
  <si>
    <t>Logout from header and sidebar</t>
  </si>
  <si>
    <t>1. Click Logout at the top right
2. Log in again and click Logout at the bottom of the sidebar</t>
  </si>
  <si>
    <t>Session ends and the login page is shown both times</t>
  </si>
  <si>
    <t>AU-48</t>
  </si>
  <si>
    <t>Browser Back after logout</t>
  </si>
  <si>
    <t>Logged out</t>
  </si>
  <si>
    <t>1. Press the browser Back button</t>
  </si>
  <si>
    <t>Dashboard is not shown and the login page appears</t>
  </si>
  <si>
    <t>AU-49</t>
  </si>
  <si>
    <t>Open a page URL without login</t>
  </si>
  <si>
    <t>1. Open a page URL directly (e.g. Dashboard)</t>
  </si>
  <si>
    <t>User is redirected to the login page</t>
  </si>
  <si>
    <t>Setting</t>
  </si>
  <si>
    <t>Value (fill from developer)</t>
  </si>
  <si>
    <t>Seen in screenshots</t>
  </si>
  <si>
    <t>Wrong password attempts before account lock (N)</t>
  </si>
  <si>
    <t>Ask developer</t>
  </si>
  <si>
    <t>Not shown</t>
  </si>
  <si>
    <t>Account lock duration</t>
  </si>
  <si>
    <t>10 minutes</t>
  </si>
  <si>
    <t>Yes: 'Try again in 10 minute(s)'</t>
  </si>
  <si>
    <t>Login rate limit (requests and time)</t>
  </si>
  <si>
    <t>OTP length</t>
  </si>
  <si>
    <t>6 digits</t>
  </si>
  <si>
    <t>Yes</t>
  </si>
  <si>
    <t>OTP validity time</t>
  </si>
  <si>
    <t>OTP resend wait time</t>
  </si>
  <si>
    <t>About 60 seconds</t>
  </si>
  <si>
    <t>Yes: countdown seen at 58s</t>
  </si>
  <si>
    <t>OTP request limit (Forgot Password rate limit)</t>
  </si>
  <si>
    <t>Message seen: 'Too many requests right now'</t>
  </si>
  <si>
    <t>Wrong OTP attempts allowed</t>
  </si>
  <si>
    <t>Minimum password length</t>
  </si>
  <si>
    <t>6 characters</t>
  </si>
  <si>
    <t>Session idle timeout</t>
  </si>
  <si>
    <t>30 minutes</t>
  </si>
  <si>
    <t>Told by team</t>
  </si>
  <si>
    <t>Shortened timeout available on test environment?</t>
  </si>
  <si>
    <t>Ask developer (saves waiting 30 minutes)</t>
  </si>
  <si>
    <t>Bug ID</t>
  </si>
  <si>
    <t>Actual Result (what you saw)</t>
  </si>
  <si>
    <t>Severity</t>
  </si>
  <si>
    <t>Bug Status</t>
  </si>
  <si>
    <t>Reported By</t>
  </si>
  <si>
    <t>BUG-001</t>
  </si>
  <si>
    <t>BUG-002</t>
  </si>
  <si>
    <t>BUG-003</t>
  </si>
  <si>
    <t>BUG-004</t>
  </si>
  <si>
    <t>BUG-005</t>
  </si>
  <si>
    <t>BUG-006</t>
  </si>
  <si>
    <t>BUG-007</t>
  </si>
  <si>
    <t>BUG-008</t>
  </si>
  <si>
    <t>BUG-009</t>
  </si>
  <si>
    <t>BUG-010</t>
  </si>
  <si>
    <t>BUG-011</t>
  </si>
  <si>
    <t>BUG-012</t>
  </si>
  <si>
    <t>BUG-013</t>
  </si>
  <si>
    <t>BUG-014</t>
  </si>
  <si>
    <t>BUG-015</t>
  </si>
  <si>
    <t>BUG-016</t>
  </si>
  <si>
    <t>BUG-017</t>
  </si>
  <si>
    <t>BUG-018</t>
  </si>
  <si>
    <t>BUG-019</t>
  </si>
  <si>
    <t>BUG-020</t>
  </si>
  <si>
    <t>BUG-021</t>
  </si>
  <si>
    <t>BUG-022</t>
  </si>
  <si>
    <t>BUG-023</t>
  </si>
  <si>
    <t>BUG-024</t>
  </si>
  <si>
    <t>BUG-025</t>
  </si>
  <si>
    <t>BUG-026</t>
  </si>
  <si>
    <t>BUG-027</t>
  </si>
  <si>
    <t>BUG-028</t>
  </si>
  <si>
    <t>BUG-029</t>
  </si>
  <si>
    <t>BUG-030</t>
  </si>
  <si>
    <t>BUG-031</t>
  </si>
  <si>
    <t>BUG-032</t>
  </si>
  <si>
    <t>BUG-033</t>
  </si>
  <si>
    <t>BUG-034</t>
  </si>
  <si>
    <t>BUG-035</t>
  </si>
  <si>
    <t>BUG-036</t>
  </si>
  <si>
    <t>BUG-037</t>
  </si>
  <si>
    <t>BUG-038</t>
  </si>
  <si>
    <t>BUG-039</t>
  </si>
  <si>
    <t>BUG-040</t>
  </si>
  <si>
    <t>BUG-041</t>
  </si>
  <si>
    <t>BUG-042</t>
  </si>
  <si>
    <t>BUG-043</t>
  </si>
  <si>
    <t>BUG-044</t>
  </si>
  <si>
    <t>BUG-045</t>
  </si>
  <si>
    <t>BUG-046</t>
  </si>
  <si>
    <t>BUG-047</t>
  </si>
  <si>
    <t>BUG-048</t>
  </si>
  <si>
    <t>BUG-049</t>
  </si>
  <si>
    <t>BUG-050</t>
  </si>
  <si>
    <t>BUG-051</t>
  </si>
  <si>
    <t>BUG-052</t>
  </si>
  <si>
    <t>BUG-053</t>
  </si>
  <si>
    <t>BUG-054</t>
  </si>
  <si>
    <t>BUG-055</t>
  </si>
  <si>
    <t>BUG-056</t>
  </si>
  <si>
    <t>BUG-057</t>
  </si>
  <si>
    <t>BUG-058</t>
  </si>
  <si>
    <t>BUG-059</t>
  </si>
  <si>
    <t>BUG-060</t>
  </si>
  <si>
    <t>BUG-061</t>
  </si>
  <si>
    <t>BUG-062</t>
  </si>
  <si>
    <t>BUG-063</t>
  </si>
  <si>
    <t>BUG-064</t>
  </si>
  <si>
    <t>BUG-065</t>
  </si>
  <si>
    <t>BUG-066</t>
  </si>
  <si>
    <t>BUG-067</t>
  </si>
  <si>
    <t>BUG-068</t>
  </si>
  <si>
    <t>BUG-069</t>
  </si>
  <si>
    <t>BUG-070</t>
  </si>
  <si>
    <t>BUG-071</t>
  </si>
  <si>
    <t>BUG-072</t>
  </si>
  <si>
    <t>BUG-073</t>
  </si>
  <si>
    <t>BUG-074</t>
  </si>
  <si>
    <t>BUG-075</t>
  </si>
  <si>
    <t>BUG-076</t>
  </si>
  <si>
    <t>BUG-077</t>
  </si>
  <si>
    <t>BUG-078</t>
  </si>
  <si>
    <t>BUG-079</t>
  </si>
  <si>
    <t>BUG-080</t>
  </si>
  <si>
    <t>BUG-081</t>
  </si>
  <si>
    <t>BUG-082</t>
  </si>
  <si>
    <t>BUG-083</t>
  </si>
  <si>
    <t>BUG-084</t>
  </si>
  <si>
    <t>BUG-085</t>
  </si>
  <si>
    <t>BUG-086</t>
  </si>
  <si>
    <t>BUG-087</t>
  </si>
  <si>
    <t>BUG-088</t>
  </si>
  <si>
    <t>BUG-089</t>
  </si>
  <si>
    <t>BUG-090</t>
  </si>
  <si>
    <t>BUG-091</t>
  </si>
  <si>
    <t>BUG-092</t>
  </si>
  <si>
    <t>BUG-093</t>
  </si>
  <si>
    <t>BUG-094</t>
  </si>
  <si>
    <t>BUG-095</t>
  </si>
  <si>
    <t>BUG-096</t>
  </si>
  <si>
    <t>BUG-097</t>
  </si>
  <si>
    <t>BUG-098</t>
  </si>
  <si>
    <t>BUG-099</t>
  </si>
  <si>
    <t>BUG-100</t>
  </si>
  <si>
    <t>#</t>
  </si>
  <si>
    <t>Issue seen in screenshots</t>
  </si>
  <si>
    <t>Related Test Case</t>
  </si>
  <si>
    <t>Edit popup opened from an FAQ is titled 'Edit Emergency Contact' (field is FAQ). Wrong title</t>
  </si>
  <si>
    <t>List order is not clearly by date (05 Aug, 27 Aug, 11 Oct 2023 mixed). Confirm the intended sort order</t>
  </si>
  <si>
    <t>All modules</t>
  </si>
  <si>
    <t>'Live Content' banner says changes reflect in the app immediately. Verify in the app</t>
  </si>
  <si>
    <t>Login page Password field has no show/hide (eye) icon, but the Reset Password page has one. Confirm this is intended</t>
  </si>
  <si>
    <t>AU-01, AU-38</t>
  </si>
  <si>
    <t>Forgot Password rate-limit message says 'try again in a little while' with no time, but login lock says 10 minutes. Confirm the wait time and message</t>
  </si>
  <si>
    <t>Confirm whether resetting the password unlocks a locked account</t>
  </si>
  <si>
    <t>Confirm the number of wrong attempts before lock, OTP validity and OTP limits, and fill them in the Auth Settings tab</t>
  </si>
  <si>
    <t>AU-09, AU-23, AU-32, AU-33</t>
  </si>
  <si>
    <t>pass</t>
  </si>
  <si>
    <t>CR-006</t>
  </si>
  <si>
    <t>not enough data</t>
  </si>
  <si>
    <t>cr-09</t>
  </si>
  <si>
    <t>validation for image is only shown when all other validation has passed</t>
  </si>
  <si>
    <t>fail</t>
  </si>
  <si>
    <t>testimonial</t>
  </si>
  <si>
    <t>cr-02</t>
  </si>
  <si>
    <t>SPAN card description has issues</t>
  </si>
  <si>
    <t>cr-06</t>
  </si>
  <si>
    <t>no  pagination</t>
  </si>
  <si>
    <t>content in the cards needs to be adjusted</t>
  </si>
  <si>
    <t>Not all cards content is in nepali and some heading are still in english</t>
  </si>
  <si>
    <t>lg-08</t>
  </si>
  <si>
    <t>lg-01</t>
  </si>
  <si>
    <t>search for anxiety and depression is not possible, switches to other tab when search is done</t>
  </si>
  <si>
    <t>search in nepali doesn’t work, nepali character problem</t>
  </si>
  <si>
    <t>for SPAN Screening, one title is in nepali</t>
  </si>
  <si>
    <t>Searching for only anxiety is possible, serch while on other tabs swithes the cards to anxiety.</t>
  </si>
  <si>
    <t>No validation message is shown</t>
  </si>
  <si>
    <t>Cr-13</t>
  </si>
  <si>
    <t>Some dropdoown shows the  nepali content while in english mode</t>
  </si>
  <si>
    <t>n/a</t>
  </si>
  <si>
    <t>Can enter/have duplicate entries during edit option</t>
  </si>
  <si>
    <t>Some content of YUWA 26 and above is in english</t>
  </si>
  <si>
    <t>lg-09</t>
  </si>
  <si>
    <t>not intended, cant perform search in other tabs other than anxity/chinta</t>
  </si>
  <si>
    <t>Note: added a test card in anxiety tab, kindly delete it, has 2 test that has this test value.</t>
  </si>
  <si>
    <t>Faqs</t>
  </si>
  <si>
    <t>lg-07</t>
  </si>
  <si>
    <t>Cant see in the public site in english</t>
  </si>
  <si>
    <t>Cant see in the public site in nepali</t>
  </si>
  <si>
    <t>as expected</t>
  </si>
  <si>
    <t>locked for 30 minutes</t>
  </si>
  <si>
    <t>otp sent and a message the next can be sent in 60 seconds</t>
  </si>
  <si>
    <t>does not allow to send otp and shows disabled by admin msg</t>
  </si>
  <si>
    <t>no block message</t>
  </si>
  <si>
    <t>only fot otp validation message is shown</t>
  </si>
  <si>
    <t>Aboutus</t>
  </si>
  <si>
    <t>BUG-101</t>
  </si>
  <si>
    <t>BUG-102</t>
  </si>
  <si>
    <t>BUG-103</t>
  </si>
  <si>
    <t>BUG-104</t>
  </si>
  <si>
    <t>BUG-105</t>
  </si>
  <si>
    <t>BUG-106</t>
  </si>
  <si>
    <t>BUG-107</t>
  </si>
  <si>
    <t>BUG-108</t>
  </si>
  <si>
    <t>BUG-109</t>
  </si>
  <si>
    <t>BUG-110</t>
  </si>
  <si>
    <t>BUG-111</t>
  </si>
  <si>
    <t>BUG-112</t>
  </si>
  <si>
    <t>BUG-113</t>
  </si>
  <si>
    <t>BUG-114</t>
  </si>
  <si>
    <t>BUG-115</t>
  </si>
  <si>
    <t>BUG-116</t>
  </si>
  <si>
    <t>BUG-117</t>
  </si>
  <si>
    <t>BUG-118</t>
  </si>
  <si>
    <t>BUG-119</t>
  </si>
  <si>
    <t>BUG-120</t>
  </si>
  <si>
    <t>BUG-121</t>
  </si>
  <si>
    <t>BUG-122</t>
  </si>
  <si>
    <t>BUG-123</t>
  </si>
  <si>
    <t>BUG-124</t>
  </si>
  <si>
    <t>BUG-125</t>
  </si>
  <si>
    <t>BUG-126</t>
  </si>
  <si>
    <t>BUG-127</t>
  </si>
  <si>
    <t>BUG-128</t>
  </si>
  <si>
    <t>BUG-129</t>
  </si>
  <si>
    <t>BUG-130</t>
  </si>
  <si>
    <t>BUG-131</t>
  </si>
  <si>
    <t>BUG-132</t>
  </si>
  <si>
    <t>BUG-133</t>
  </si>
  <si>
    <t>BUG-134</t>
  </si>
  <si>
    <t>BUG-135</t>
  </si>
  <si>
    <t>BUG-136</t>
  </si>
  <si>
    <t>BUG-137</t>
  </si>
  <si>
    <t>BUG-138</t>
  </si>
  <si>
    <t>BUG-139</t>
  </si>
  <si>
    <t>BUG-140</t>
  </si>
  <si>
    <t>BUG-141</t>
  </si>
  <si>
    <t>BUG-142</t>
  </si>
  <si>
    <t>BUG-143</t>
  </si>
  <si>
    <t>BUG-144</t>
  </si>
  <si>
    <t>BUG-145</t>
  </si>
  <si>
    <t>BUG-146</t>
  </si>
  <si>
    <t>BUG-147</t>
  </si>
  <si>
    <t>BUG-148</t>
  </si>
  <si>
    <t>BUG-149</t>
  </si>
  <si>
    <t>BUG-150</t>
  </si>
  <si>
    <t>BUG-151</t>
  </si>
  <si>
    <t>BUG-152</t>
  </si>
  <si>
    <t>BUG-153</t>
  </si>
  <si>
    <t>BUG-154</t>
  </si>
  <si>
    <t>BUG-155</t>
  </si>
  <si>
    <t>BUG-156</t>
  </si>
  <si>
    <t>BUG-157</t>
  </si>
  <si>
    <t>BUG-158</t>
  </si>
  <si>
    <t>BUG-159</t>
  </si>
  <si>
    <t>BUG-160</t>
  </si>
  <si>
    <t>BUG-161</t>
  </si>
  <si>
    <t>BUG-162</t>
  </si>
  <si>
    <t>BUG-163</t>
  </si>
  <si>
    <t>BUG-164</t>
  </si>
  <si>
    <t>BUG-165</t>
  </si>
  <si>
    <t>BUG-166</t>
  </si>
  <si>
    <t>BUG-167</t>
  </si>
  <si>
    <t>BUG-168</t>
  </si>
  <si>
    <t>BUG-169</t>
  </si>
  <si>
    <t>BUG-170</t>
  </si>
  <si>
    <t>BUG-171</t>
  </si>
  <si>
    <t>BUG-172</t>
  </si>
  <si>
    <t>BUG-173</t>
  </si>
  <si>
    <t>BUG-174</t>
  </si>
  <si>
    <t>BUG-175</t>
  </si>
  <si>
    <t>BUG-176</t>
  </si>
  <si>
    <t>BUG-177</t>
  </si>
  <si>
    <t>BUG-178</t>
  </si>
  <si>
    <t>BUG-179</t>
  </si>
  <si>
    <t>BUG-180</t>
  </si>
  <si>
    <t>BUG-181</t>
  </si>
  <si>
    <t>BUG-182</t>
  </si>
  <si>
    <t>BUG-183</t>
  </si>
  <si>
    <t>BUG-184</t>
  </si>
  <si>
    <t>BUG-185</t>
  </si>
  <si>
    <t>BUG-186</t>
  </si>
  <si>
    <t>BUG-187</t>
  </si>
  <si>
    <t>BUG-188</t>
  </si>
  <si>
    <t>BUG-189</t>
  </si>
  <si>
    <t>BUG-190</t>
  </si>
  <si>
    <t>BUG-191</t>
  </si>
  <si>
    <t>BUG-192</t>
  </si>
  <si>
    <t>BUG-193</t>
  </si>
  <si>
    <t>BUG-194</t>
  </si>
  <si>
    <t>BUG-195</t>
  </si>
  <si>
    <t>BUG-196</t>
  </si>
  <si>
    <t>BUG-197</t>
  </si>
  <si>
    <t>BUG-198</t>
  </si>
  <si>
    <t>BUG-199</t>
  </si>
  <si>
    <t>BUG-200</t>
  </si>
  <si>
    <t>BUG-201</t>
  </si>
  <si>
    <t>BUG-202</t>
  </si>
  <si>
    <t>BUG-203</t>
  </si>
  <si>
    <t>BUG-204</t>
  </si>
  <si>
    <t>BUG-205</t>
  </si>
  <si>
    <t>BUG-206</t>
  </si>
  <si>
    <t>BUG-207</t>
  </si>
  <si>
    <t>BUG-208</t>
  </si>
  <si>
    <t>BUG-209</t>
  </si>
  <si>
    <t>BUG-210</t>
  </si>
  <si>
    <t>BUG-211</t>
  </si>
  <si>
    <t>BUG-212</t>
  </si>
  <si>
    <t>BUG-213</t>
  </si>
  <si>
    <t>BUG-214</t>
  </si>
  <si>
    <t>BUG-215</t>
  </si>
  <si>
    <t>BUG-216</t>
  </si>
  <si>
    <t>BUG-217</t>
  </si>
  <si>
    <t>BUG-218</t>
  </si>
  <si>
    <t>BUG-219</t>
  </si>
  <si>
    <t>BUG-220</t>
  </si>
  <si>
    <t>BUG-221</t>
  </si>
  <si>
    <t>BUG-222</t>
  </si>
  <si>
    <t>BUG-223</t>
  </si>
  <si>
    <t>BUG-224</t>
  </si>
  <si>
    <t>BUG-225</t>
  </si>
  <si>
    <t>BUG-226</t>
  </si>
  <si>
    <t>BUG-227</t>
  </si>
  <si>
    <t>BUG-228</t>
  </si>
  <si>
    <t>BUG-229</t>
  </si>
  <si>
    <t>BUG-230</t>
  </si>
  <si>
    <t>BUG-231</t>
  </si>
  <si>
    <t>BUG-232</t>
  </si>
  <si>
    <t>BUG-233</t>
  </si>
  <si>
    <t>BUG-234</t>
  </si>
  <si>
    <t>BUG-235</t>
  </si>
  <si>
    <t>BUG-236</t>
  </si>
  <si>
    <t>BUG-237</t>
  </si>
  <si>
    <t>BUG-238</t>
  </si>
  <si>
    <t>BUG-239</t>
  </si>
  <si>
    <t>BUG-240</t>
  </si>
  <si>
    <t>BUG-241</t>
  </si>
  <si>
    <t>BUG-242</t>
  </si>
  <si>
    <t>BUG-243</t>
  </si>
  <si>
    <t>BUG-244</t>
  </si>
  <si>
    <t>BUG-245</t>
  </si>
  <si>
    <t>BUG-246</t>
  </si>
  <si>
    <t>BUG-247</t>
  </si>
  <si>
    <t>BUG-248</t>
  </si>
  <si>
    <t>BUG-249</t>
  </si>
  <si>
    <t>BUG-250</t>
  </si>
  <si>
    <t>BUG-251</t>
  </si>
  <si>
    <t>BUG-252</t>
  </si>
  <si>
    <t>BUG-253</t>
  </si>
  <si>
    <t>BUG-254</t>
  </si>
  <si>
    <t>BUG-255</t>
  </si>
  <si>
    <t>BUG-256</t>
  </si>
  <si>
    <t>BUG-257</t>
  </si>
  <si>
    <t>BUG-258</t>
  </si>
  <si>
    <t>BUG-259</t>
  </si>
  <si>
    <t>BUG-260</t>
  </si>
  <si>
    <t>BUG-261</t>
  </si>
  <si>
    <t>BUG-262</t>
  </si>
  <si>
    <t>BUG-263</t>
  </si>
  <si>
    <t>BUG-264</t>
  </si>
  <si>
    <t>BUG-265</t>
  </si>
  <si>
    <t>BUG-266</t>
  </si>
  <si>
    <t>BUG-267</t>
  </si>
  <si>
    <t>BUG-268</t>
  </si>
  <si>
    <t>BUG-269</t>
  </si>
  <si>
    <t>BUG-270</t>
  </si>
  <si>
    <t>BUG-271</t>
  </si>
  <si>
    <t>BUG-272</t>
  </si>
  <si>
    <t>BUG-273</t>
  </si>
  <si>
    <t>BUG-274</t>
  </si>
  <si>
    <t>BUG-275</t>
  </si>
  <si>
    <t>BUG-276</t>
  </si>
  <si>
    <t>BUG-277</t>
  </si>
  <si>
    <t>BUG-278</t>
  </si>
  <si>
    <t>BUG-279</t>
  </si>
  <si>
    <t>BUG-280</t>
  </si>
  <si>
    <t>BUG-281</t>
  </si>
  <si>
    <t>BUG-282</t>
  </si>
  <si>
    <t>BUG-283</t>
  </si>
  <si>
    <t>BUG-284</t>
  </si>
  <si>
    <t>BUG-285</t>
  </si>
  <si>
    <t>BUG-286</t>
  </si>
  <si>
    <t>BUG-287</t>
  </si>
  <si>
    <t>BUG-288</t>
  </si>
  <si>
    <t>BUG-289</t>
  </si>
  <si>
    <t>BUG-290</t>
  </si>
  <si>
    <t>BUG-291</t>
  </si>
  <si>
    <t>BUG-292</t>
  </si>
  <si>
    <t>BUG-293</t>
  </si>
  <si>
    <t>BUG-294</t>
  </si>
  <si>
    <t>BUG-295</t>
  </si>
  <si>
    <t>BUG-296</t>
  </si>
  <si>
    <t>BUG-297</t>
  </si>
  <si>
    <t>BUG-298</t>
  </si>
  <si>
    <t>BUG-299</t>
  </si>
  <si>
    <t>BUG-300</t>
  </si>
  <si>
    <t>BUG-301</t>
  </si>
  <si>
    <t>BUG-302</t>
  </si>
  <si>
    <t>BUG-303</t>
  </si>
  <si>
    <t>BUG-304</t>
  </si>
  <si>
    <t>BUG-305</t>
  </si>
  <si>
    <t>BUG-306</t>
  </si>
  <si>
    <t>BUG-307</t>
  </si>
  <si>
    <t>BUG-308</t>
  </si>
  <si>
    <t>BUG-309</t>
  </si>
  <si>
    <t>BUG-310</t>
  </si>
  <si>
    <t>BUG-311</t>
  </si>
  <si>
    <t>BUG-312</t>
  </si>
  <si>
    <t>BUG-313</t>
  </si>
  <si>
    <t>BUG-314</t>
  </si>
  <si>
    <t>BUG-315</t>
  </si>
  <si>
    <t>BUG-316</t>
  </si>
  <si>
    <t>BUG-317</t>
  </si>
  <si>
    <t>BUG-318</t>
  </si>
  <si>
    <t>BUG-319</t>
  </si>
  <si>
    <t>BUG-320</t>
  </si>
  <si>
    <t>BUG-321</t>
  </si>
  <si>
    <t>BUG-322</t>
  </si>
  <si>
    <t>BUG-323</t>
  </si>
  <si>
    <t>BUG-324</t>
  </si>
  <si>
    <t>BUG-325</t>
  </si>
  <si>
    <t>BUG-326</t>
  </si>
  <si>
    <t>BUG-327</t>
  </si>
  <si>
    <t>BUG-328</t>
  </si>
  <si>
    <t>BUG-329</t>
  </si>
  <si>
    <t>BUG-330</t>
  </si>
  <si>
    <t>BUG-331</t>
  </si>
  <si>
    <t>BUG-332</t>
  </si>
  <si>
    <t>BUG-333</t>
  </si>
  <si>
    <t>BUG-334</t>
  </si>
  <si>
    <t>BUG-335</t>
  </si>
  <si>
    <t>BUG-336</t>
  </si>
  <si>
    <t>BUG-337</t>
  </si>
  <si>
    <t>BUG-338</t>
  </si>
  <si>
    <t>BUG-339</t>
  </si>
  <si>
    <t>BUG-340</t>
  </si>
  <si>
    <t>BUG-341</t>
  </si>
  <si>
    <t>BUG-342</t>
  </si>
  <si>
    <t>BUG-343</t>
  </si>
  <si>
    <t>BUG-344</t>
  </si>
  <si>
    <t>BUG-345</t>
  </si>
  <si>
    <t>BUG-346</t>
  </si>
  <si>
    <t>BUG-347</t>
  </si>
  <si>
    <t>BUG-348</t>
  </si>
  <si>
    <t>BUG-349</t>
  </si>
  <si>
    <t>BUG-350</t>
  </si>
  <si>
    <t>BUG-351</t>
  </si>
  <si>
    <t>BUG-352</t>
  </si>
  <si>
    <t>BUG-353</t>
  </si>
  <si>
    <t>BUG-354</t>
  </si>
  <si>
    <t>BUG-355</t>
  </si>
  <si>
    <t>BUG-356</t>
  </si>
  <si>
    <t>BUG-357</t>
  </si>
  <si>
    <t>BUG-358</t>
  </si>
  <si>
    <t>BUG-359</t>
  </si>
  <si>
    <t>BUG-360</t>
  </si>
  <si>
    <t>BUG-361</t>
  </si>
  <si>
    <t>BUG-362</t>
  </si>
  <si>
    <t>BUG-363</t>
  </si>
  <si>
    <t>BUG-364</t>
  </si>
  <si>
    <t>BUG-365</t>
  </si>
  <si>
    <t>BUG-366</t>
  </si>
  <si>
    <t>BUG-367</t>
  </si>
  <si>
    <t>BUG-368</t>
  </si>
  <si>
    <t>BUG-369</t>
  </si>
  <si>
    <t>BUG-370</t>
  </si>
  <si>
    <t>BUG-371</t>
  </si>
  <si>
    <t>BUG-372</t>
  </si>
  <si>
    <t>BUG-373</t>
  </si>
  <si>
    <t>BUG-374</t>
  </si>
  <si>
    <t>BUG-375</t>
  </si>
  <si>
    <t>BUG-376</t>
  </si>
  <si>
    <t>BUG-377</t>
  </si>
  <si>
    <t>BUG-378</t>
  </si>
  <si>
    <t>BUG-379</t>
  </si>
  <si>
    <t>BUG-380</t>
  </si>
  <si>
    <t>BUG-381</t>
  </si>
  <si>
    <t>BUG-382</t>
  </si>
  <si>
    <t>BUG-383</t>
  </si>
  <si>
    <t>BUG-384</t>
  </si>
  <si>
    <t>BUG-385</t>
  </si>
  <si>
    <t>BUG-386</t>
  </si>
  <si>
    <t>BUG-387</t>
  </si>
  <si>
    <t>BUG-388</t>
  </si>
  <si>
    <t>BUG-389</t>
  </si>
  <si>
    <t>BUG-390</t>
  </si>
  <si>
    <t>BUG-391</t>
  </si>
  <si>
    <t>BUG-392</t>
  </si>
  <si>
    <t>BUG-393</t>
  </si>
  <si>
    <t>BUG-394</t>
  </si>
  <si>
    <t>BUG-395</t>
  </si>
  <si>
    <t>BUG-396</t>
  </si>
  <si>
    <t>BUG-397</t>
  </si>
  <si>
    <t>BUG-398</t>
  </si>
  <si>
    <t>BUG-399</t>
  </si>
  <si>
    <t>BUG-400</t>
  </si>
  <si>
    <t>BUG-401</t>
  </si>
  <si>
    <t>BUG-402</t>
  </si>
  <si>
    <t>BUG-403</t>
  </si>
  <si>
    <t>BUG-404</t>
  </si>
  <si>
    <t>BUG-405</t>
  </si>
  <si>
    <t>BUG-406</t>
  </si>
  <si>
    <t>BUG-407</t>
  </si>
  <si>
    <t>BUG-408</t>
  </si>
  <si>
    <t>BUG-409</t>
  </si>
  <si>
    <t>BUG-410</t>
  </si>
  <si>
    <t>BUG-411</t>
  </si>
  <si>
    <t>BUG-412</t>
  </si>
  <si>
    <t>BUG-413</t>
  </si>
  <si>
    <t>BUG-414</t>
  </si>
  <si>
    <t>BUG-415</t>
  </si>
  <si>
    <t>BUG-416</t>
  </si>
  <si>
    <t>BUG-417</t>
  </si>
  <si>
    <t>BUG-418</t>
  </si>
  <si>
    <t>BUG-419</t>
  </si>
  <si>
    <t>BUG-420</t>
  </si>
  <si>
    <t>BUG-421</t>
  </si>
  <si>
    <t>BUG-422</t>
  </si>
  <si>
    <t>BUG-423</t>
  </si>
  <si>
    <t>BUG-424</t>
  </si>
  <si>
    <t>BUG-425</t>
  </si>
  <si>
    <t>BUG-426</t>
  </si>
  <si>
    <t>BUG-427</t>
  </si>
  <si>
    <t>BUG-428</t>
  </si>
  <si>
    <t>BUG-429</t>
  </si>
  <si>
    <t>BUG-430</t>
  </si>
  <si>
    <t>BUG-431</t>
  </si>
  <si>
    <t>BUG-432</t>
  </si>
  <si>
    <t>BUG-433</t>
  </si>
  <si>
    <t>BUG-434</t>
  </si>
  <si>
    <t>BUG-435</t>
  </si>
  <si>
    <t>BUG-436</t>
  </si>
  <si>
    <t>BUG-437</t>
  </si>
  <si>
    <t>BUG-438</t>
  </si>
  <si>
    <t>BUG-439</t>
  </si>
  <si>
    <t>BUG-440</t>
  </si>
  <si>
    <t>BUG-441</t>
  </si>
  <si>
    <t>BUG-442</t>
  </si>
  <si>
    <t>BUG-443</t>
  </si>
  <si>
    <t>BUG-444</t>
  </si>
  <si>
    <t>BUG-445</t>
  </si>
  <si>
    <t>BUG-446</t>
  </si>
  <si>
    <t>BUG-447</t>
  </si>
  <si>
    <t>BUG-448</t>
  </si>
  <si>
    <t>BUG-449</t>
  </si>
  <si>
    <t>BUG-450</t>
  </si>
  <si>
    <t>BUG-451</t>
  </si>
  <si>
    <t>BUG-452</t>
  </si>
  <si>
    <t>BUG-453</t>
  </si>
  <si>
    <t>BUG-454</t>
  </si>
  <si>
    <t>BUG-455</t>
  </si>
  <si>
    <t>BUG-456</t>
  </si>
  <si>
    <t>BUG-457</t>
  </si>
  <si>
    <t>BUG-458</t>
  </si>
  <si>
    <t>BUG-459</t>
  </si>
  <si>
    <t>BUG-460</t>
  </si>
  <si>
    <t>BUG-461</t>
  </si>
  <si>
    <t>BUG-462</t>
  </si>
  <si>
    <t>BUG-463</t>
  </si>
  <si>
    <t>BUG-464</t>
  </si>
  <si>
    <t>BUG-465</t>
  </si>
  <si>
    <t>BUG-466</t>
  </si>
  <si>
    <t>BUG-467</t>
  </si>
  <si>
    <t>BUG-468</t>
  </si>
  <si>
    <t>BUG-469</t>
  </si>
  <si>
    <t>BUG-470</t>
  </si>
  <si>
    <t>BUG-471</t>
  </si>
  <si>
    <t>BUG-472</t>
  </si>
  <si>
    <t>BUG-473</t>
  </si>
  <si>
    <t>BUG-474</t>
  </si>
  <si>
    <t>BUG-475</t>
  </si>
  <si>
    <t>BUG-476</t>
  </si>
  <si>
    <t>BUG-477</t>
  </si>
  <si>
    <t>BUG-478</t>
  </si>
  <si>
    <t>BUG-479</t>
  </si>
  <si>
    <t>BUG-480</t>
  </si>
  <si>
    <t>BUG-481</t>
  </si>
  <si>
    <t>BUG-482</t>
  </si>
  <si>
    <t>BUG-483</t>
  </si>
  <si>
    <t>BUG-484</t>
  </si>
  <si>
    <t>BUG-485</t>
  </si>
  <si>
    <t>BUG-486</t>
  </si>
  <si>
    <t>BUG-487</t>
  </si>
  <si>
    <t>BUG-488</t>
  </si>
  <si>
    <t>BUG-489</t>
  </si>
  <si>
    <t>BUG-490</t>
  </si>
  <si>
    <t>BUG-491</t>
  </si>
  <si>
    <t>BUG-492</t>
  </si>
  <si>
    <t>BUG-493</t>
  </si>
  <si>
    <t>BUG-494</t>
  </si>
  <si>
    <t>BUG-495</t>
  </si>
  <si>
    <t>BUG-496</t>
  </si>
  <si>
    <t>BUG-497</t>
  </si>
  <si>
    <t>BUG-498</t>
  </si>
  <si>
    <t>BUG-499</t>
  </si>
  <si>
    <t>BUG-500</t>
  </si>
  <si>
    <t>BUG-501</t>
  </si>
  <si>
    <t>BUG-502</t>
  </si>
  <si>
    <t>BUG-503</t>
  </si>
  <si>
    <t>BUG-504</t>
  </si>
  <si>
    <t>BUG-505</t>
  </si>
  <si>
    <t>BUG-506</t>
  </si>
  <si>
    <t>BUG-507</t>
  </si>
  <si>
    <t>BUG-508</t>
  </si>
  <si>
    <t>BUG-509</t>
  </si>
  <si>
    <t>BUG-510</t>
  </si>
  <si>
    <t>BUG-511</t>
  </si>
  <si>
    <t>BUG-512</t>
  </si>
  <si>
    <t>BUG-513</t>
  </si>
  <si>
    <t>BUG-514</t>
  </si>
  <si>
    <t>BUG-515</t>
  </si>
  <si>
    <t>BUG-516</t>
  </si>
  <si>
    <t>BUG-517</t>
  </si>
  <si>
    <t>BUG-518</t>
  </si>
  <si>
    <t>BUG-519</t>
  </si>
  <si>
    <t>BUG-520</t>
  </si>
  <si>
    <t>BUG-521</t>
  </si>
  <si>
    <t>BUG-522</t>
  </si>
  <si>
    <t>BUG-523</t>
  </si>
  <si>
    <t>BUG-524</t>
  </si>
  <si>
    <t>BUG-525</t>
  </si>
  <si>
    <t>BUG-526</t>
  </si>
  <si>
    <t>BUG-527</t>
  </si>
  <si>
    <t>BUG-528</t>
  </si>
  <si>
    <t>BUG-529</t>
  </si>
  <si>
    <t>BUG-530</t>
  </si>
  <si>
    <t>BUG-531</t>
  </si>
  <si>
    <t>BUG-532</t>
  </si>
  <si>
    <t>BUG-533</t>
  </si>
  <si>
    <t>BUG-534</t>
  </si>
  <si>
    <t>BUG-535</t>
  </si>
  <si>
    <t>BUG-536</t>
  </si>
  <si>
    <t>BUG-537</t>
  </si>
  <si>
    <t>BUG-538</t>
  </si>
  <si>
    <t>BUG-539</t>
  </si>
  <si>
    <t>BUG-540</t>
  </si>
  <si>
    <t>BUG-541</t>
  </si>
  <si>
    <t>BUG-542</t>
  </si>
  <si>
    <t>BUG-543</t>
  </si>
  <si>
    <t>BUG-544</t>
  </si>
  <si>
    <t>BUG-545</t>
  </si>
  <si>
    <t>BUG-546</t>
  </si>
  <si>
    <t>BUG-547</t>
  </si>
  <si>
    <t>BUG-548</t>
  </si>
  <si>
    <t>BUG-549</t>
  </si>
  <si>
    <t>BUG-550</t>
  </si>
  <si>
    <t>BUG-551</t>
  </si>
  <si>
    <t>BUG-552</t>
  </si>
  <si>
    <t>BUG-553</t>
  </si>
  <si>
    <t>BUG-554</t>
  </si>
  <si>
    <t>BUG-555</t>
  </si>
  <si>
    <t>BUG-556</t>
  </si>
  <si>
    <t>BUG-557</t>
  </si>
  <si>
    <t>BUG-558</t>
  </si>
  <si>
    <t>BUG-559</t>
  </si>
  <si>
    <t>BUG-560</t>
  </si>
  <si>
    <t>BUG-561</t>
  </si>
  <si>
    <t>BUG-562</t>
  </si>
  <si>
    <t>BUG-563</t>
  </si>
  <si>
    <t>BUG-564</t>
  </si>
  <si>
    <t>BUG-565</t>
  </si>
  <si>
    <t>BUG-566</t>
  </si>
  <si>
    <t>BUG-567</t>
  </si>
  <si>
    <t>BUG-568</t>
  </si>
  <si>
    <t>BUG-569</t>
  </si>
  <si>
    <t>BUG-570</t>
  </si>
  <si>
    <t>BUG-571</t>
  </si>
  <si>
    <t>BUG-572</t>
  </si>
  <si>
    <t>BUG-573</t>
  </si>
  <si>
    <t>BUG-574</t>
  </si>
  <si>
    <t>BUG-575</t>
  </si>
  <si>
    <t>BUG-576</t>
  </si>
  <si>
    <t>BUG-577</t>
  </si>
  <si>
    <t>BUG-578</t>
  </si>
  <si>
    <t>BUG-579</t>
  </si>
  <si>
    <t>BUG-580</t>
  </si>
  <si>
    <t>BUG-581</t>
  </si>
  <si>
    <t>BUG-582</t>
  </si>
  <si>
    <t>BUG-583</t>
  </si>
  <si>
    <t>BUG-584</t>
  </si>
  <si>
    <t>BUG-585</t>
  </si>
  <si>
    <t>BUG-586</t>
  </si>
  <si>
    <t>BUG-587</t>
  </si>
  <si>
    <t>BUG-588</t>
  </si>
  <si>
    <t>BUG-589</t>
  </si>
  <si>
    <t>BUG-590</t>
  </si>
  <si>
    <t>BUG-591</t>
  </si>
  <si>
    <t>BUG-592</t>
  </si>
  <si>
    <t>BUG-593</t>
  </si>
  <si>
    <t>BUG-594</t>
  </si>
  <si>
    <t>BUG-595</t>
  </si>
  <si>
    <t>BUG-596</t>
  </si>
  <si>
    <t>BUG-597</t>
  </si>
  <si>
    <t>BUG-598</t>
  </si>
  <si>
    <t>BUG-599</t>
  </si>
  <si>
    <t>BUG-600</t>
  </si>
  <si>
    <t>BUG-601</t>
  </si>
  <si>
    <t>BUG-602</t>
  </si>
  <si>
    <t>BUG-603</t>
  </si>
  <si>
    <t>BUG-604</t>
  </si>
  <si>
    <t>BUG-605</t>
  </si>
  <si>
    <t>BUG-606</t>
  </si>
  <si>
    <t>BUG-607</t>
  </si>
  <si>
    <t>BUG-608</t>
  </si>
  <si>
    <t>BUG-609</t>
  </si>
  <si>
    <t>BUG-610</t>
  </si>
  <si>
    <t>BUG-611</t>
  </si>
  <si>
    <t>BUG-612</t>
  </si>
  <si>
    <t>BUG-613</t>
  </si>
  <si>
    <t>BUG-614</t>
  </si>
  <si>
    <t>BUG-615</t>
  </si>
  <si>
    <t>BUG-616</t>
  </si>
  <si>
    <t>BUG-617</t>
  </si>
  <si>
    <t>BUG-618</t>
  </si>
  <si>
    <t>BUG-619</t>
  </si>
  <si>
    <t>BUG-620</t>
  </si>
  <si>
    <t>BUG-621</t>
  </si>
  <si>
    <t>BUG-622</t>
  </si>
  <si>
    <t>BUG-623</t>
  </si>
  <si>
    <t>BUG-624</t>
  </si>
  <si>
    <t>BUG-625</t>
  </si>
  <si>
    <t>BUG-626</t>
  </si>
  <si>
    <t>BUG-627</t>
  </si>
  <si>
    <t>BUG-628</t>
  </si>
  <si>
    <t>BUG-629</t>
  </si>
  <si>
    <t>BUG-630</t>
  </si>
  <si>
    <t>BUG-631</t>
  </si>
  <si>
    <t>BUG-632</t>
  </si>
  <si>
    <t>BUG-633</t>
  </si>
  <si>
    <t>BUG-634</t>
  </si>
  <si>
    <t>BUG-635</t>
  </si>
  <si>
    <t>BUG-636</t>
  </si>
  <si>
    <t>BUG-637</t>
  </si>
  <si>
    <t>BUG-638</t>
  </si>
  <si>
    <t>BUG-639</t>
  </si>
  <si>
    <t>BUG-640</t>
  </si>
  <si>
    <t>BUG-641</t>
  </si>
  <si>
    <t>BUG-642</t>
  </si>
  <si>
    <t>BUG-643</t>
  </si>
  <si>
    <t>BUG-644</t>
  </si>
  <si>
    <t>BUG-645</t>
  </si>
  <si>
    <t>BUG-646</t>
  </si>
  <si>
    <t>BUG-647</t>
  </si>
  <si>
    <t>BUG-648</t>
  </si>
  <si>
    <t>BUG-649</t>
  </si>
  <si>
    <t>BUG-650</t>
  </si>
  <si>
    <t>BUG-651</t>
  </si>
  <si>
    <t>BUG-652</t>
  </si>
  <si>
    <t>BUG-653</t>
  </si>
  <si>
    <t>BUG-654</t>
  </si>
  <si>
    <t>BUG-655</t>
  </si>
  <si>
    <t>BUG-656</t>
  </si>
  <si>
    <t>BUG-657</t>
  </si>
  <si>
    <t>BUG-658</t>
  </si>
  <si>
    <t>BUG-659</t>
  </si>
  <si>
    <t>BUG-660</t>
  </si>
  <si>
    <t>BUG-661</t>
  </si>
  <si>
    <t>BUG-662</t>
  </si>
  <si>
    <t>BUG-663</t>
  </si>
  <si>
    <t>BUG-664</t>
  </si>
  <si>
    <t>BUG-665</t>
  </si>
  <si>
    <t>BUG-666</t>
  </si>
  <si>
    <t>BUG-667</t>
  </si>
  <si>
    <t>BUG-668</t>
  </si>
  <si>
    <t>BUG-669</t>
  </si>
  <si>
    <t>BUG-670</t>
  </si>
  <si>
    <t>BUG-671</t>
  </si>
  <si>
    <t>BUG-672</t>
  </si>
  <si>
    <t>BUG-673</t>
  </si>
  <si>
    <t>BUG-674</t>
  </si>
  <si>
    <t>BUG-675</t>
  </si>
  <si>
    <t>BUG-676</t>
  </si>
  <si>
    <t>BUG-677</t>
  </si>
  <si>
    <t>BUG-678</t>
  </si>
  <si>
    <t>BUG-679</t>
  </si>
  <si>
    <t>BUG-680</t>
  </si>
  <si>
    <t>BUG-681</t>
  </si>
  <si>
    <t>BUG-682</t>
  </si>
  <si>
    <t>BUG-683</t>
  </si>
  <si>
    <t>BUG-684</t>
  </si>
  <si>
    <t>BUG-685</t>
  </si>
  <si>
    <t>BUG-686</t>
  </si>
  <si>
    <t>BUG-687</t>
  </si>
  <si>
    <t>BUG-688</t>
  </si>
  <si>
    <t>BUG-689</t>
  </si>
  <si>
    <t>BUG-690</t>
  </si>
  <si>
    <t>BUG-691</t>
  </si>
  <si>
    <t>BUG-692</t>
  </si>
  <si>
    <t>BUG-693</t>
  </si>
  <si>
    <t>BUG-694</t>
  </si>
  <si>
    <t>BUG-695</t>
  </si>
  <si>
    <t>BUG-696</t>
  </si>
  <si>
    <t>BUG-697</t>
  </si>
  <si>
    <t>BUG-698</t>
  </si>
  <si>
    <t>BUG-699</t>
  </si>
  <si>
    <t>BUG-700</t>
  </si>
  <si>
    <t>BUG-701</t>
  </si>
  <si>
    <t>BUG-702</t>
  </si>
  <si>
    <t>BUG-703</t>
  </si>
  <si>
    <t>BUG-704</t>
  </si>
  <si>
    <t>BUG-705</t>
  </si>
  <si>
    <t>BUG-706</t>
  </si>
  <si>
    <t>BUG-707</t>
  </si>
  <si>
    <t>BUG-708</t>
  </si>
  <si>
    <t>BUG-709</t>
  </si>
  <si>
    <t>BUG-710</t>
  </si>
  <si>
    <t>BUG-711</t>
  </si>
  <si>
    <t>BUG-712</t>
  </si>
  <si>
    <t>BUG-713</t>
  </si>
  <si>
    <t>BUG-714</t>
  </si>
  <si>
    <t>BUG-715</t>
  </si>
  <si>
    <t>BUG-716</t>
  </si>
  <si>
    <t>BUG-717</t>
  </si>
  <si>
    <t>BUG-718</t>
  </si>
  <si>
    <t>BUG-719</t>
  </si>
  <si>
    <t>BUG-720</t>
  </si>
  <si>
    <t>BUG-721</t>
  </si>
  <si>
    <t>BUG-722</t>
  </si>
  <si>
    <t>BUG-723</t>
  </si>
  <si>
    <t>BUG-724</t>
  </si>
  <si>
    <t>BUG-725</t>
  </si>
  <si>
    <t>BUG-726</t>
  </si>
  <si>
    <t>BUG-727</t>
  </si>
  <si>
    <t>BUG-728</t>
  </si>
  <si>
    <t>BUG-729</t>
  </si>
  <si>
    <t>BUG-730</t>
  </si>
  <si>
    <t>BUG-731</t>
  </si>
  <si>
    <t>BUG-732</t>
  </si>
  <si>
    <t>BUG-733</t>
  </si>
  <si>
    <t>BUG-734</t>
  </si>
  <si>
    <t>BUG-735</t>
  </si>
  <si>
    <t>BUG-736</t>
  </si>
  <si>
    <t>BUG-737</t>
  </si>
  <si>
    <t>BUG-738</t>
  </si>
  <si>
    <t>BUG-739</t>
  </si>
  <si>
    <t>BUG-740</t>
  </si>
  <si>
    <t>BUG-741</t>
  </si>
  <si>
    <t>BUG-742</t>
  </si>
  <si>
    <t>BUG-743</t>
  </si>
  <si>
    <t>BUG-744</t>
  </si>
  <si>
    <t>BUG-745</t>
  </si>
  <si>
    <t>BUG-746</t>
  </si>
  <si>
    <t>BUG-747</t>
  </si>
  <si>
    <t>BUG-748</t>
  </si>
  <si>
    <t>BUG-749</t>
  </si>
  <si>
    <t>BUG-750</t>
  </si>
  <si>
    <t>BUG-751</t>
  </si>
  <si>
    <t>BUG-752</t>
  </si>
  <si>
    <t>BUG-753</t>
  </si>
  <si>
    <t>BUG-754</t>
  </si>
  <si>
    <t>BUG-755</t>
  </si>
  <si>
    <t>BUG-756</t>
  </si>
  <si>
    <t>BUG-757</t>
  </si>
  <si>
    <t>BUG-758</t>
  </si>
  <si>
    <t>BUG-759</t>
  </si>
  <si>
    <t>BUG-760</t>
  </si>
  <si>
    <t>BUG-761</t>
  </si>
  <si>
    <t>BUG-762</t>
  </si>
  <si>
    <t>BUG-763</t>
  </si>
  <si>
    <t>BUG-764</t>
  </si>
  <si>
    <t>BUG-765</t>
  </si>
  <si>
    <t>BUG-766</t>
  </si>
  <si>
    <t>BUG-767</t>
  </si>
  <si>
    <t>BUG-768</t>
  </si>
  <si>
    <t>BUG-769</t>
  </si>
  <si>
    <t>BUG-770</t>
  </si>
  <si>
    <t>BUG-771</t>
  </si>
  <si>
    <t>BUG-772</t>
  </si>
  <si>
    <t>BUG-773</t>
  </si>
  <si>
    <t>BUG-774</t>
  </si>
  <si>
    <t>BUG-775</t>
  </si>
  <si>
    <t>BUG-776</t>
  </si>
  <si>
    <t>BUG-777</t>
  </si>
  <si>
    <t>BUG-778</t>
  </si>
  <si>
    <t>BUG-779</t>
  </si>
  <si>
    <t>BUG-780</t>
  </si>
  <si>
    <t>BUG-781</t>
  </si>
  <si>
    <t>BUG-782</t>
  </si>
  <si>
    <t>BUG-783</t>
  </si>
  <si>
    <t>BUG-784</t>
  </si>
  <si>
    <t>BUG-785</t>
  </si>
  <si>
    <t>BUG-786</t>
  </si>
  <si>
    <t>BUG-787</t>
  </si>
  <si>
    <t>BUG-788</t>
  </si>
  <si>
    <t>BUG-789</t>
  </si>
  <si>
    <t>BUG-790</t>
  </si>
  <si>
    <t>BUG-791</t>
  </si>
  <si>
    <t>BUG-792</t>
  </si>
  <si>
    <t>BUG-793</t>
  </si>
  <si>
    <t>BUG-794</t>
  </si>
  <si>
    <t>BUG-795</t>
  </si>
  <si>
    <t>BUG-796</t>
  </si>
  <si>
    <t>BUG-797</t>
  </si>
  <si>
    <t>BUG-798</t>
  </si>
  <si>
    <t>BUG-799</t>
  </si>
  <si>
    <t>BUG-800</t>
  </si>
  <si>
    <t>BUG-801</t>
  </si>
  <si>
    <t>BUG-802</t>
  </si>
  <si>
    <t>BUG-803</t>
  </si>
  <si>
    <t>BUG-804</t>
  </si>
  <si>
    <t>BUG-805</t>
  </si>
  <si>
    <t>BUG-806</t>
  </si>
  <si>
    <t>BUG-807</t>
  </si>
  <si>
    <t>BUG-808</t>
  </si>
  <si>
    <t>BUG-809</t>
  </si>
  <si>
    <t>BUG-810</t>
  </si>
  <si>
    <t>BUG-811</t>
  </si>
  <si>
    <t>BUG-812</t>
  </si>
  <si>
    <t>BUG-813</t>
  </si>
  <si>
    <t>BUG-814</t>
  </si>
  <si>
    <t>BUG-815</t>
  </si>
  <si>
    <t>BUG-816</t>
  </si>
  <si>
    <t>BUG-817</t>
  </si>
  <si>
    <t>BUG-818</t>
  </si>
  <si>
    <t>BUG-819</t>
  </si>
  <si>
    <t>BUG-820</t>
  </si>
  <si>
    <t>BUG-821</t>
  </si>
  <si>
    <t>BUG-822</t>
  </si>
  <si>
    <t>BUG-823</t>
  </si>
  <si>
    <t>BUG-824</t>
  </si>
  <si>
    <t>BUG-825</t>
  </si>
  <si>
    <t>BUG-826</t>
  </si>
  <si>
    <t>BUG-827</t>
  </si>
  <si>
    <t>BUG-828</t>
  </si>
  <si>
    <t>BUG-829</t>
  </si>
  <si>
    <t>BUG-830</t>
  </si>
  <si>
    <t>BUG-831</t>
  </si>
  <si>
    <t>BUG-832</t>
  </si>
  <si>
    <t>BUG-833</t>
  </si>
  <si>
    <t>BUG-834</t>
  </si>
  <si>
    <t>BUG-835</t>
  </si>
  <si>
    <t>BUG-836</t>
  </si>
  <si>
    <t>BUG-837</t>
  </si>
  <si>
    <t>BUG-838</t>
  </si>
  <si>
    <t>BUG-839</t>
  </si>
  <si>
    <t>BUG-840</t>
  </si>
  <si>
    <t>BUG-841</t>
  </si>
  <si>
    <t>BUG-842</t>
  </si>
  <si>
    <t>BUG-843</t>
  </si>
  <si>
    <t>BUG-844</t>
  </si>
  <si>
    <t>BUG-845</t>
  </si>
  <si>
    <t>BUG-846</t>
  </si>
  <si>
    <t>BUG-847</t>
  </si>
  <si>
    <t>BUG-848</t>
  </si>
  <si>
    <t>BUG-849</t>
  </si>
  <si>
    <t>BUG-850</t>
  </si>
  <si>
    <t>BUG-851</t>
  </si>
  <si>
    <t>BUG-852</t>
  </si>
  <si>
    <t>BUG-853</t>
  </si>
  <si>
    <t>BUG-854</t>
  </si>
  <si>
    <t>BUG-855</t>
  </si>
  <si>
    <t>BUG-856</t>
  </si>
  <si>
    <t>BUG-857</t>
  </si>
  <si>
    <t>BUG-858</t>
  </si>
  <si>
    <t>BUG-859</t>
  </si>
  <si>
    <t>BUG-860</t>
  </si>
  <si>
    <t>BUG-861</t>
  </si>
  <si>
    <t>BUG-862</t>
  </si>
  <si>
    <t>BUG-863</t>
  </si>
  <si>
    <t>BUG-864</t>
  </si>
  <si>
    <t>BUG-865</t>
  </si>
  <si>
    <t>BUG-866</t>
  </si>
  <si>
    <t>BUG-867</t>
  </si>
  <si>
    <t>BUG-868</t>
  </si>
  <si>
    <t>BUG-869</t>
  </si>
  <si>
    <t>BUG-870</t>
  </si>
  <si>
    <t>BUG-871</t>
  </si>
  <si>
    <t>BUG-872</t>
  </si>
  <si>
    <t>BUG-873</t>
  </si>
  <si>
    <t>BUG-874</t>
  </si>
  <si>
    <t>BUG-875</t>
  </si>
  <si>
    <t>BUG-876</t>
  </si>
  <si>
    <t>BUG-877</t>
  </si>
  <si>
    <t>BUG-878</t>
  </si>
  <si>
    <t>BUG-879</t>
  </si>
  <si>
    <t>BUG-880</t>
  </si>
  <si>
    <t>BUG-881</t>
  </si>
  <si>
    <t>BUG-882</t>
  </si>
  <si>
    <t>BUG-883</t>
  </si>
  <si>
    <t>BUG-884</t>
  </si>
  <si>
    <t>BUG-885</t>
  </si>
  <si>
    <t>BUG-886</t>
  </si>
  <si>
    <t>BUG-887</t>
  </si>
  <si>
    <t>BUG-888</t>
  </si>
  <si>
    <t>BUG-889</t>
  </si>
  <si>
    <t>BUG-890</t>
  </si>
  <si>
    <t>BUG-891</t>
  </si>
  <si>
    <t>BUG-892</t>
  </si>
  <si>
    <t>BUG-893</t>
  </si>
  <si>
    <t>BUG-894</t>
  </si>
  <si>
    <t>BUG-895</t>
  </si>
  <si>
    <t>BUG-896</t>
  </si>
  <si>
    <t>BUG-897</t>
  </si>
  <si>
    <t>BUG-898</t>
  </si>
  <si>
    <t>BUG-899</t>
  </si>
  <si>
    <t>BUG-900</t>
  </si>
  <si>
    <t>BUG-901</t>
  </si>
  <si>
    <t>BUG-902</t>
  </si>
  <si>
    <t>BUG-903</t>
  </si>
  <si>
    <t>BUG-904</t>
  </si>
  <si>
    <t>BUG-905</t>
  </si>
  <si>
    <t>BUG-906</t>
  </si>
  <si>
    <t>BUG-907</t>
  </si>
  <si>
    <t>BUG-908</t>
  </si>
  <si>
    <t>BUG-909</t>
  </si>
  <si>
    <t>BUG-910</t>
  </si>
  <si>
    <t>BUG-911</t>
  </si>
  <si>
    <t>BUG-912</t>
  </si>
  <si>
    <t>BUG-913</t>
  </si>
  <si>
    <t>BUG-914</t>
  </si>
  <si>
    <t>BUG-915</t>
  </si>
  <si>
    <t>BUG-916</t>
  </si>
  <si>
    <t>BUG-917</t>
  </si>
  <si>
    <t>BUG-918</t>
  </si>
  <si>
    <t>BUG-919</t>
  </si>
  <si>
    <t>BUG-920</t>
  </si>
  <si>
    <t>BUG-921</t>
  </si>
  <si>
    <t>BUG-922</t>
  </si>
  <si>
    <t>BUG-923</t>
  </si>
  <si>
    <t>BUG-924</t>
  </si>
  <si>
    <t>BUG-925</t>
  </si>
  <si>
    <t>BUG-926</t>
  </si>
  <si>
    <t>BUG-927</t>
  </si>
  <si>
    <t>BUG-928</t>
  </si>
  <si>
    <t>BUG-929</t>
  </si>
  <si>
    <t>BUG-930</t>
  </si>
  <si>
    <t>BUG-931</t>
  </si>
  <si>
    <t>BUG-932</t>
  </si>
  <si>
    <t>BUG-933</t>
  </si>
  <si>
    <t>BUG-934</t>
  </si>
  <si>
    <t>BUG-935</t>
  </si>
  <si>
    <t>BUG-936</t>
  </si>
  <si>
    <t>BUG-937</t>
  </si>
  <si>
    <t>BUG-938</t>
  </si>
  <si>
    <t>BUG-939</t>
  </si>
  <si>
    <t>BUG-940</t>
  </si>
  <si>
    <t>BUG-941</t>
  </si>
  <si>
    <t>BUG-942</t>
  </si>
  <si>
    <t>BUG-943</t>
  </si>
  <si>
    <t>BUG-944</t>
  </si>
  <si>
    <t>BUG-945</t>
  </si>
  <si>
    <t>BUG-946</t>
  </si>
  <si>
    <t>BUG-947</t>
  </si>
  <si>
    <t>BUG-948</t>
  </si>
  <si>
    <t>BUG-949</t>
  </si>
  <si>
    <t>BUG-950</t>
  </si>
  <si>
    <t>BUG-951</t>
  </si>
  <si>
    <t>BUG-952</t>
  </si>
  <si>
    <t>BUG-953</t>
  </si>
  <si>
    <t>BUG-954</t>
  </si>
  <si>
    <t>BUG-955</t>
  </si>
  <si>
    <t>BUG-956</t>
  </si>
  <si>
    <t>BUG-957</t>
  </si>
  <si>
    <t>BUG-958</t>
  </si>
  <si>
    <t>BUG-959</t>
  </si>
  <si>
    <t>BUG-960</t>
  </si>
  <si>
    <t>BUG-961</t>
  </si>
  <si>
    <t>BUG-962</t>
  </si>
  <si>
    <t>BUG-963</t>
  </si>
  <si>
    <t>BUG-964</t>
  </si>
  <si>
    <t>BUG-965</t>
  </si>
  <si>
    <t>BUG-966</t>
  </si>
  <si>
    <t>BUG-967</t>
  </si>
  <si>
    <t>BUG-968</t>
  </si>
  <si>
    <t>BUG-969</t>
  </si>
  <si>
    <t>BUG-970</t>
  </si>
  <si>
    <t>BUG-971</t>
  </si>
  <si>
    <t>BUG-972</t>
  </si>
  <si>
    <t>BUG-973</t>
  </si>
  <si>
    <t>BUG-974</t>
  </si>
  <si>
    <t>BUG-975</t>
  </si>
  <si>
    <t>BUG-976</t>
  </si>
  <si>
    <t>BUG-977</t>
  </si>
  <si>
    <t>BUG-978</t>
  </si>
  <si>
    <t>BUG-979</t>
  </si>
  <si>
    <t>BUG-980</t>
  </si>
  <si>
    <t>BUG-981</t>
  </si>
  <si>
    <t>BUG-982</t>
  </si>
  <si>
    <t>BUG-983</t>
  </si>
  <si>
    <t>BUG-984</t>
  </si>
  <si>
    <t>BUG-985</t>
  </si>
  <si>
    <t>BUG-986</t>
  </si>
  <si>
    <t>BUG-987</t>
  </si>
  <si>
    <t>BUG-988</t>
  </si>
  <si>
    <t>BUG-989</t>
  </si>
  <si>
    <t>BUG-990</t>
  </si>
  <si>
    <t>BUG-991</t>
  </si>
  <si>
    <t>BUG-992</t>
  </si>
  <si>
    <t>BUG-993</t>
  </si>
  <si>
    <t>BUG-994</t>
  </si>
  <si>
    <t>BUG-995</t>
  </si>
  <si>
    <t>BUG-996</t>
  </si>
  <si>
    <t>BUG-997</t>
  </si>
  <si>
    <t>BUG-998</t>
  </si>
  <si>
    <t>BUG-999</t>
  </si>
  <si>
    <t>BUG-1000</t>
  </si>
  <si>
    <t>BUG-1001</t>
  </si>
  <si>
    <t>BUG-1002</t>
  </si>
  <si>
    <t>BUG-1003</t>
  </si>
  <si>
    <t>BUG-1004</t>
  </si>
  <si>
    <t>BUG-1005</t>
  </si>
  <si>
    <t>BUG-1006</t>
  </si>
  <si>
    <t>BUG-1007</t>
  </si>
  <si>
    <t>BUG-1008</t>
  </si>
  <si>
    <t>BUG-1009</t>
  </si>
  <si>
    <t>BUG-1010</t>
  </si>
  <si>
    <t>BUG-1011</t>
  </si>
  <si>
    <t>BUG-1012</t>
  </si>
  <si>
    <t>BUG-1013</t>
  </si>
  <si>
    <t>BUG-1014</t>
  </si>
  <si>
    <t>BUG-1015</t>
  </si>
  <si>
    <t>BUG-1016</t>
  </si>
  <si>
    <t>BUG-1017</t>
  </si>
  <si>
    <t>BUG-1018</t>
  </si>
  <si>
    <t>BUG-1019</t>
  </si>
  <si>
    <t>BUG-1020</t>
  </si>
  <si>
    <t>BUG-1021</t>
  </si>
  <si>
    <t>BUG-1022</t>
  </si>
  <si>
    <t>BUG-1023</t>
  </si>
  <si>
    <t>BUG-1024</t>
  </si>
  <si>
    <t>BUG-1025</t>
  </si>
  <si>
    <t>BUG-1026</t>
  </si>
  <si>
    <t>BUG-1027</t>
  </si>
  <si>
    <t>BUG-1028</t>
  </si>
  <si>
    <t>BUG-1029</t>
  </si>
  <si>
    <t>BUG-1030</t>
  </si>
  <si>
    <t>BUG-1031</t>
  </si>
  <si>
    <t>BUG-1032</t>
  </si>
  <si>
    <t>BUG-1033</t>
  </si>
  <si>
    <t>BUG-1034</t>
  </si>
  <si>
    <t>BUG-1035</t>
  </si>
  <si>
    <t>BUG-1036</t>
  </si>
  <si>
    <t>BUG-1037</t>
  </si>
  <si>
    <t>BUG-1038</t>
  </si>
  <si>
    <t>BUG-1039</t>
  </si>
  <si>
    <t>BUG-1040</t>
  </si>
  <si>
    <t>BUG-1041</t>
  </si>
  <si>
    <t>BUG-1042</t>
  </si>
  <si>
    <t>BUG-1043</t>
  </si>
  <si>
    <t>BUG-1044</t>
  </si>
  <si>
    <t>BUG-1045</t>
  </si>
  <si>
    <t>BUG-1046</t>
  </si>
  <si>
    <t>BUG-1047</t>
  </si>
  <si>
    <t>BUG-1048</t>
  </si>
  <si>
    <t>BUG-1049</t>
  </si>
  <si>
    <t>BUG-1050</t>
  </si>
  <si>
    <t>BUG-1051</t>
  </si>
  <si>
    <t>BUG-1052</t>
  </si>
  <si>
    <t>BUG-1053</t>
  </si>
  <si>
    <t>BUG-1054</t>
  </si>
  <si>
    <t>BUG-1055</t>
  </si>
  <si>
    <t>BUG-1056</t>
  </si>
  <si>
    <t>BUG-1057</t>
  </si>
  <si>
    <t>BUG-1058</t>
  </si>
  <si>
    <t>BUG-1059</t>
  </si>
  <si>
    <t>BUG-1060</t>
  </si>
  <si>
    <t>BUG-1061</t>
  </si>
  <si>
    <t>BUG-1062</t>
  </si>
  <si>
    <t>BUG-1063</t>
  </si>
  <si>
    <t>BUG-1064</t>
  </si>
  <si>
    <t>BUG-1065</t>
  </si>
  <si>
    <t>BUG-1066</t>
  </si>
  <si>
    <t>BUG-1067</t>
  </si>
  <si>
    <t>BUG-1068</t>
  </si>
  <si>
    <t>BUG-1069</t>
  </si>
  <si>
    <t>BUG-1070</t>
  </si>
  <si>
    <t>BUG-1071</t>
  </si>
  <si>
    <t>BUG-1072</t>
  </si>
  <si>
    <t>BUG-1073</t>
  </si>
  <si>
    <t>BUG-1074</t>
  </si>
  <si>
    <t>BUG-1075</t>
  </si>
  <si>
    <t>BUG-1076</t>
  </si>
  <si>
    <t>BUG-1077</t>
  </si>
  <si>
    <t>BUG-1078</t>
  </si>
  <si>
    <t>BUG-1079</t>
  </si>
  <si>
    <t>BUG-1080</t>
  </si>
  <si>
    <t>BUG-1081</t>
  </si>
  <si>
    <t>BUG-1082</t>
  </si>
  <si>
    <t>BUG-1083</t>
  </si>
  <si>
    <t>BUG-1084</t>
  </si>
  <si>
    <t>BUG-1085</t>
  </si>
  <si>
    <t>BUG-1086</t>
  </si>
  <si>
    <t>BUG-1087</t>
  </si>
  <si>
    <t>BUG-1088</t>
  </si>
  <si>
    <t>BUG-1089</t>
  </si>
  <si>
    <t>BUG-1090</t>
  </si>
  <si>
    <t>BUG-1091</t>
  </si>
  <si>
    <t>BUG-1092</t>
  </si>
  <si>
    <t>BUG-1093</t>
  </si>
  <si>
    <t>BUG-1094</t>
  </si>
  <si>
    <t>BUG-1095</t>
  </si>
  <si>
    <t>BUG-1096</t>
  </si>
  <si>
    <t>BUG-1097</t>
  </si>
  <si>
    <t>BUG-1098</t>
  </si>
  <si>
    <t>BUG-1099</t>
  </si>
  <si>
    <t>BUG-1100</t>
  </si>
  <si>
    <t>BUG-1101</t>
  </si>
  <si>
    <t>BUG-1102</t>
  </si>
  <si>
    <t>BUG-1103</t>
  </si>
  <si>
    <t>BUG-1104</t>
  </si>
  <si>
    <t>BUG-1105</t>
  </si>
  <si>
    <t>BUG-1106</t>
  </si>
  <si>
    <t>BUG-1107</t>
  </si>
  <si>
    <t>BUG-1108</t>
  </si>
  <si>
    <t>BUG-1109</t>
  </si>
  <si>
    <t>BUG-1110</t>
  </si>
  <si>
    <t>BUG-1111</t>
  </si>
  <si>
    <t>BUG-1112</t>
  </si>
  <si>
    <t>BUG-1113</t>
  </si>
  <si>
    <t>BUG-1114</t>
  </si>
  <si>
    <t>BUG-1115</t>
  </si>
  <si>
    <t>BUG-1116</t>
  </si>
  <si>
    <t>BUG-1117</t>
  </si>
  <si>
    <t>BUG-1118</t>
  </si>
  <si>
    <t>BUG-1119</t>
  </si>
  <si>
    <t>BUG-1120</t>
  </si>
  <si>
    <t>BUG-1121</t>
  </si>
  <si>
    <t>BUG-1122</t>
  </si>
  <si>
    <t>BUG-1123</t>
  </si>
  <si>
    <t>BUG-1124</t>
  </si>
  <si>
    <t>BUG-1125</t>
  </si>
  <si>
    <t>BUG-1126</t>
  </si>
  <si>
    <t>BUG-1127</t>
  </si>
  <si>
    <t>BUG-1128</t>
  </si>
  <si>
    <t>BUG-1129</t>
  </si>
  <si>
    <t>BUG-1130</t>
  </si>
  <si>
    <t>BUG-1131</t>
  </si>
  <si>
    <t>BUG-1132</t>
  </si>
  <si>
    <t>BUG-1133</t>
  </si>
  <si>
    <t>BUG-1134</t>
  </si>
  <si>
    <t>BUG-1135</t>
  </si>
  <si>
    <t>BUG-1136</t>
  </si>
  <si>
    <t>BUG-1137</t>
  </si>
  <si>
    <t>BUG-1138</t>
  </si>
  <si>
    <t>BUG-1139</t>
  </si>
  <si>
    <t>BUG-1140</t>
  </si>
  <si>
    <t>BUG-1141</t>
  </si>
  <si>
    <t>BUG-1142</t>
  </si>
  <si>
    <t>BUG-1143</t>
  </si>
  <si>
    <t>BUG-1144</t>
  </si>
  <si>
    <t>BUG-1145</t>
  </si>
  <si>
    <t>BUG-1146</t>
  </si>
  <si>
    <t>BUG-1147</t>
  </si>
  <si>
    <t>BUG-1148</t>
  </si>
  <si>
    <t>BUG-1149</t>
  </si>
  <si>
    <t>BUG-1150</t>
  </si>
  <si>
    <t>BUG-1151</t>
  </si>
  <si>
    <t>BUG-1152</t>
  </si>
  <si>
    <t>BUG-1153</t>
  </si>
  <si>
    <t>BUG-1154</t>
  </si>
  <si>
    <t>BUG-1155</t>
  </si>
  <si>
    <t>BUG-1156</t>
  </si>
  <si>
    <t>BUG-1157</t>
  </si>
  <si>
    <t>BUG-1158</t>
  </si>
  <si>
    <t>BUG-1159</t>
  </si>
  <si>
    <t>BUG-1160</t>
  </si>
  <si>
    <t>BUG-1161</t>
  </si>
  <si>
    <t>BUG-1162</t>
  </si>
  <si>
    <t>BUG-1163</t>
  </si>
  <si>
    <t>BUG-1164</t>
  </si>
  <si>
    <t>BUG-1165</t>
  </si>
  <si>
    <t>BUG-1166</t>
  </si>
  <si>
    <t>BUG-1167</t>
  </si>
  <si>
    <t>BUG-1168</t>
  </si>
  <si>
    <t>BUG-1169</t>
  </si>
  <si>
    <t>BUG-1170</t>
  </si>
  <si>
    <t>BUG-1171</t>
  </si>
  <si>
    <t>BUG-1172</t>
  </si>
  <si>
    <t>BUG-1173</t>
  </si>
  <si>
    <t>BUG-1174</t>
  </si>
  <si>
    <t>BUG-1175</t>
  </si>
  <si>
    <t>BUG-1176</t>
  </si>
  <si>
    <t>BUG-1177</t>
  </si>
  <si>
    <t>BUG-1178</t>
  </si>
  <si>
    <t>BUG-1179</t>
  </si>
  <si>
    <t>BUG-1180</t>
  </si>
  <si>
    <t>BUG-1181</t>
  </si>
  <si>
    <t>BUG-1182</t>
  </si>
  <si>
    <t>BUG-1183</t>
  </si>
  <si>
    <t>BUG-1184</t>
  </si>
  <si>
    <t>BUG-1185</t>
  </si>
  <si>
    <t>BUG-1186</t>
  </si>
  <si>
    <t>BUG-1187</t>
  </si>
  <si>
    <t>BUG-1188</t>
  </si>
  <si>
    <t>BUG-1189</t>
  </si>
  <si>
    <t>BUG-1190</t>
  </si>
  <si>
    <t>BUG-1191</t>
  </si>
  <si>
    <t>BUG-1192</t>
  </si>
  <si>
    <t>BUG-1193</t>
  </si>
  <si>
    <t>BUG-1194</t>
  </si>
  <si>
    <t>BUG-1195</t>
  </si>
  <si>
    <t>BUG-1196</t>
  </si>
  <si>
    <t>BUG-1197</t>
  </si>
  <si>
    <t>BUG-1198</t>
  </si>
  <si>
    <t>BUG-1199</t>
  </si>
  <si>
    <t>BUG-1200</t>
  </si>
  <si>
    <t>BUG-1201</t>
  </si>
  <si>
    <t>BUG-1202</t>
  </si>
  <si>
    <t>BUG-1203</t>
  </si>
  <si>
    <t>BUG-1204</t>
  </si>
  <si>
    <t>BUG-1205</t>
  </si>
  <si>
    <t>BUG-1206</t>
  </si>
  <si>
    <t>BUG-1207</t>
  </si>
  <si>
    <t>BUG-1208</t>
  </si>
  <si>
    <t>BUG-1209</t>
  </si>
  <si>
    <t>BUG-1210</t>
  </si>
  <si>
    <t>BUG-1211</t>
  </si>
  <si>
    <t>BUG-1212</t>
  </si>
  <si>
    <t>BUG-1213</t>
  </si>
  <si>
    <t>BUG-1214</t>
  </si>
  <si>
    <t>BUG-1215</t>
  </si>
  <si>
    <t>BUG-1216</t>
  </si>
  <si>
    <t>BUG-1217</t>
  </si>
  <si>
    <t>BUG-1218</t>
  </si>
  <si>
    <t>BUG-1219</t>
  </si>
  <si>
    <t>BUG-1220</t>
  </si>
  <si>
    <t>BUG-1221</t>
  </si>
  <si>
    <t>BUG-1222</t>
  </si>
  <si>
    <t>BUG-1223</t>
  </si>
  <si>
    <t>BUG-1224</t>
  </si>
  <si>
    <t>BUG-1225</t>
  </si>
  <si>
    <t>BUG-1226</t>
  </si>
  <si>
    <t>BUG-1227</t>
  </si>
  <si>
    <t>BUG-1228</t>
  </si>
  <si>
    <t>BUG-1229</t>
  </si>
  <si>
    <t>BUG-1230</t>
  </si>
  <si>
    <t>BUG-1231</t>
  </si>
  <si>
    <t>BUG-1232</t>
  </si>
  <si>
    <t>BUG-1233</t>
  </si>
  <si>
    <t>BUG-1234</t>
  </si>
  <si>
    <t>BUG-1235</t>
  </si>
  <si>
    <t>BUG-1236</t>
  </si>
  <si>
    <t>BUG-1237</t>
  </si>
  <si>
    <t>BUG-1238</t>
  </si>
  <si>
    <t>BUG-1239</t>
  </si>
  <si>
    <t>BUG-1240</t>
  </si>
  <si>
    <t>BUG-1241</t>
  </si>
  <si>
    <t>BUG-1242</t>
  </si>
  <si>
    <t>BUG-1243</t>
  </si>
  <si>
    <t>BUG-1244</t>
  </si>
  <si>
    <t>BUG-1245</t>
  </si>
  <si>
    <t>BUG-1246</t>
  </si>
  <si>
    <t>BUG-1247</t>
  </si>
  <si>
    <t>BUG-1248</t>
  </si>
  <si>
    <t>BUG-1249</t>
  </si>
  <si>
    <t>BUG-1250</t>
  </si>
  <si>
    <t>BUG-1251</t>
  </si>
  <si>
    <t>BUG-1252</t>
  </si>
  <si>
    <t>BUG-1253</t>
  </si>
  <si>
    <t>BUG-1254</t>
  </si>
  <si>
    <t>BUG-1255</t>
  </si>
  <si>
    <t>BUG-1256</t>
  </si>
  <si>
    <t>BUG-1257</t>
  </si>
  <si>
    <t>BUG-1258</t>
  </si>
  <si>
    <t>BUG-1259</t>
  </si>
  <si>
    <t>BUG-1260</t>
  </si>
  <si>
    <t>BUG-1261</t>
  </si>
  <si>
    <t>BUG-1262</t>
  </si>
  <si>
    <t>BUG-1263</t>
  </si>
  <si>
    <t>BUG-1264</t>
  </si>
  <si>
    <t>BUG-1265</t>
  </si>
  <si>
    <t>BUG-1266</t>
  </si>
  <si>
    <t>BUG-1267</t>
  </si>
  <si>
    <t>BUG-1268</t>
  </si>
  <si>
    <t>BUG-1269</t>
  </si>
  <si>
    <t>BUG-1270</t>
  </si>
  <si>
    <t>BUG-1271</t>
  </si>
  <si>
    <t>BUG-1272</t>
  </si>
  <si>
    <t>BUG-1273</t>
  </si>
  <si>
    <t>BUG-1274</t>
  </si>
  <si>
    <t>BUG-1275</t>
  </si>
  <si>
    <t>BUG-1276</t>
  </si>
  <si>
    <t>BUG-1277</t>
  </si>
  <si>
    <t>BUG-1278</t>
  </si>
  <si>
    <t>BUG-1279</t>
  </si>
  <si>
    <t>BUG-1280</t>
  </si>
  <si>
    <t>BUG-1281</t>
  </si>
  <si>
    <t>BUG-1282</t>
  </si>
  <si>
    <t>BUG-1283</t>
  </si>
  <si>
    <t>BUG-1284</t>
  </si>
  <si>
    <t>BUG-1285</t>
  </si>
  <si>
    <t>BUG-1286</t>
  </si>
  <si>
    <t>BUG-1287</t>
  </si>
  <si>
    <t>BUG-1288</t>
  </si>
  <si>
    <t>BUG-1289</t>
  </si>
  <si>
    <t>BUG-1290</t>
  </si>
  <si>
    <t>BUG-1291</t>
  </si>
  <si>
    <t>BUG-1292</t>
  </si>
  <si>
    <t>BUG-1293</t>
  </si>
  <si>
    <t>BUG-1294</t>
  </si>
  <si>
    <t>BUG-1295</t>
  </si>
  <si>
    <t>BUG-1296</t>
  </si>
  <si>
    <t>BUG-1297</t>
  </si>
  <si>
    <t>BUG-1298</t>
  </si>
  <si>
    <t>BUG-1299</t>
  </si>
  <si>
    <t>BUG-1300</t>
  </si>
  <si>
    <t>BUG-1301</t>
  </si>
  <si>
    <t>BUG-1302</t>
  </si>
  <si>
    <t>BUG-1303</t>
  </si>
  <si>
    <t>BUG-1304</t>
  </si>
  <si>
    <t>BUG-1305</t>
  </si>
  <si>
    <t>BUG-1306</t>
  </si>
  <si>
    <t>BUG-1307</t>
  </si>
  <si>
    <t>BUG-1308</t>
  </si>
  <si>
    <t>BUG-1309</t>
  </si>
  <si>
    <t>BUG-1310</t>
  </si>
  <si>
    <t>BUG-1311</t>
  </si>
  <si>
    <t>BUG-1312</t>
  </si>
  <si>
    <t>BUG-1313</t>
  </si>
  <si>
    <t>BUG-1314</t>
  </si>
  <si>
    <t>BUG-1315</t>
  </si>
  <si>
    <t>BUG-1316</t>
  </si>
  <si>
    <t>BUG-1317</t>
  </si>
  <si>
    <t>BUG-1318</t>
  </si>
  <si>
    <t>BUG-1319</t>
  </si>
  <si>
    <t>BUG-1320</t>
  </si>
  <si>
    <t>BUG-1321</t>
  </si>
  <si>
    <t>BUG-1322</t>
  </si>
  <si>
    <t>BUG-1323</t>
  </si>
  <si>
    <t>BUG-1324</t>
  </si>
  <si>
    <t>BUG-1325</t>
  </si>
  <si>
    <t>BUG-1326</t>
  </si>
  <si>
    <t>BUG-1327</t>
  </si>
  <si>
    <t>BUG-1328</t>
  </si>
  <si>
    <t>BUG-1329</t>
  </si>
  <si>
    <t>BUG-1330</t>
  </si>
  <si>
    <t>BUG-1331</t>
  </si>
  <si>
    <t>BUG-1332</t>
  </si>
  <si>
    <t>BUG-1333</t>
  </si>
  <si>
    <t>BUG-1334</t>
  </si>
  <si>
    <t>BUG-1335</t>
  </si>
  <si>
    <t>BUG-1336</t>
  </si>
  <si>
    <t>BUG-1337</t>
  </si>
  <si>
    <t>BUG-1338</t>
  </si>
  <si>
    <t>BUG-1339</t>
  </si>
  <si>
    <t>BUG-1340</t>
  </si>
  <si>
    <t>BUG-1341</t>
  </si>
  <si>
    <t>BUG-1342</t>
  </si>
  <si>
    <t>BUG-1343</t>
  </si>
  <si>
    <t>BUG-1344</t>
  </si>
  <si>
    <t>BUG-1345</t>
  </si>
  <si>
    <t>BUG-1346</t>
  </si>
  <si>
    <t>BUG-1347</t>
  </si>
  <si>
    <t>BUG-1348</t>
  </si>
  <si>
    <t>BUG-1349</t>
  </si>
  <si>
    <t>BUG-1350</t>
  </si>
  <si>
    <t>BUG-1351</t>
  </si>
  <si>
    <t>BUG-1352</t>
  </si>
  <si>
    <t>BUG-1353</t>
  </si>
  <si>
    <t>BUG-1354</t>
  </si>
  <si>
    <t>BUG-1355</t>
  </si>
  <si>
    <t>BUG-1356</t>
  </si>
  <si>
    <t>BUG-1357</t>
  </si>
  <si>
    <t>BUG-1358</t>
  </si>
  <si>
    <t>BUG-1359</t>
  </si>
  <si>
    <t>BUG-1360</t>
  </si>
  <si>
    <t>BUG-1361</t>
  </si>
  <si>
    <t>BUG-1362</t>
  </si>
  <si>
    <t>BUG-1363</t>
  </si>
  <si>
    <t>BUG-1364</t>
  </si>
  <si>
    <t>BUG-1365</t>
  </si>
  <si>
    <t>BUG-1366</t>
  </si>
  <si>
    <t>BUG-1367</t>
  </si>
  <si>
    <t>BUG-1368</t>
  </si>
  <si>
    <t>BUG-1369</t>
  </si>
  <si>
    <t>BUG-1370</t>
  </si>
  <si>
    <t>BUG-1371</t>
  </si>
  <si>
    <t>BUG-1372</t>
  </si>
  <si>
    <t>BUG-1373</t>
  </si>
  <si>
    <t>BUG-1374</t>
  </si>
  <si>
    <t>BUG-1375</t>
  </si>
  <si>
    <t>BUG-1376</t>
  </si>
  <si>
    <t>BUG-1377</t>
  </si>
  <si>
    <t>BUG-1378</t>
  </si>
  <si>
    <t>BUG-1379</t>
  </si>
  <si>
    <t>BUG-1380</t>
  </si>
  <si>
    <t>BUG-1381</t>
  </si>
  <si>
    <t>BUG-1382</t>
  </si>
  <si>
    <t>BUG-1383</t>
  </si>
  <si>
    <t>BUG-1384</t>
  </si>
  <si>
    <t>BUG-1385</t>
  </si>
  <si>
    <t>BUG-1386</t>
  </si>
  <si>
    <t>BUG-1387</t>
  </si>
  <si>
    <t>BUG-1388</t>
  </si>
  <si>
    <t>BUG-1389</t>
  </si>
  <si>
    <t>BUG-1390</t>
  </si>
  <si>
    <t>BUG-1391</t>
  </si>
  <si>
    <t>BUG-1392</t>
  </si>
  <si>
    <t>BUG-1393</t>
  </si>
  <si>
    <t>BUG-1394</t>
  </si>
  <si>
    <t>BUG-1395</t>
  </si>
  <si>
    <t>BUG-1396</t>
  </si>
  <si>
    <t>BUG-1397</t>
  </si>
  <si>
    <t>BUG-1398</t>
  </si>
  <si>
    <t>BUG-1399</t>
  </si>
  <si>
    <t>BUG-1400</t>
  </si>
  <si>
    <t>BUG-1401</t>
  </si>
  <si>
    <t>BUG-1402</t>
  </si>
  <si>
    <t>BUG-1403</t>
  </si>
  <si>
    <t>BUG-1404</t>
  </si>
  <si>
    <t>BUG-1405</t>
  </si>
  <si>
    <t>BUG-1406</t>
  </si>
  <si>
    <t>BUG-1407</t>
  </si>
  <si>
    <t>BUG-1408</t>
  </si>
  <si>
    <t>BUG-1409</t>
  </si>
  <si>
    <t>BUG-1410</t>
  </si>
  <si>
    <t>BUG-1411</t>
  </si>
  <si>
    <t>BUG-1412</t>
  </si>
  <si>
    <t>BUG-1413</t>
  </si>
  <si>
    <t>BUG-1414</t>
  </si>
  <si>
    <t>BUG-1415</t>
  </si>
  <si>
    <t>BUG-1416</t>
  </si>
  <si>
    <t>BUG-1417</t>
  </si>
  <si>
    <t>BUG-1418</t>
  </si>
  <si>
    <t>BUG-1419</t>
  </si>
  <si>
    <t>BUG-1420</t>
  </si>
  <si>
    <t>BUG-1421</t>
  </si>
  <si>
    <t>BUG-1422</t>
  </si>
  <si>
    <t>BUG-1423</t>
  </si>
  <si>
    <t>BUG-1424</t>
  </si>
  <si>
    <t>BUG-1425</t>
  </si>
  <si>
    <t>BUG-1426</t>
  </si>
  <si>
    <t>BUG-1427</t>
  </si>
  <si>
    <t>BUG-1428</t>
  </si>
  <si>
    <t>BUG-1429</t>
  </si>
  <si>
    <t>BUG-1430</t>
  </si>
  <si>
    <t>BUG-1431</t>
  </si>
  <si>
    <t>BUG-1432</t>
  </si>
  <si>
    <t>BUG-1433</t>
  </si>
  <si>
    <t>BUG-1434</t>
  </si>
  <si>
    <t>BUG-1435</t>
  </si>
  <si>
    <t>BUG-1436</t>
  </si>
  <si>
    <t>BUG-1437</t>
  </si>
  <si>
    <t>BUG-1438</t>
  </si>
  <si>
    <t>BUG-1439</t>
  </si>
  <si>
    <t>BUG-1440</t>
  </si>
  <si>
    <t>BUG-1441</t>
  </si>
  <si>
    <t>BUG-1442</t>
  </si>
  <si>
    <t>BUG-1443</t>
  </si>
  <si>
    <t>BUG-1444</t>
  </si>
  <si>
    <t>BUG-1445</t>
  </si>
  <si>
    <t>BUG-1446</t>
  </si>
  <si>
    <t>BUG-1447</t>
  </si>
  <si>
    <t>BUG-1448</t>
  </si>
  <si>
    <t>BUG-1449</t>
  </si>
  <si>
    <t>BUG-1450</t>
  </si>
  <si>
    <t>BUG-1451</t>
  </si>
  <si>
    <t>BUG-1452</t>
  </si>
  <si>
    <t>BUG-1453</t>
  </si>
  <si>
    <t>BUG-1454</t>
  </si>
  <si>
    <t>BUG-1455</t>
  </si>
  <si>
    <t>BUG-1456</t>
  </si>
  <si>
    <t>BUG-1457</t>
  </si>
  <si>
    <t>BUG-1458</t>
  </si>
  <si>
    <t>BUG-1459</t>
  </si>
  <si>
    <t>BUG-1460</t>
  </si>
  <si>
    <t>BUG-1461</t>
  </si>
  <si>
    <t>BUG-1462</t>
  </si>
  <si>
    <t>BUG-1463</t>
  </si>
  <si>
    <t>BUG-1464</t>
  </si>
  <si>
    <t>BUG-1465</t>
  </si>
  <si>
    <t>BUG-1466</t>
  </si>
  <si>
    <t>BUG-1467</t>
  </si>
  <si>
    <t>BUG-1468</t>
  </si>
  <si>
    <t>BUG-1469</t>
  </si>
  <si>
    <t>BUG-1470</t>
  </si>
  <si>
    <t>BUG-1471</t>
  </si>
  <si>
    <t>BUG-1472</t>
  </si>
  <si>
    <t>BUG-1473</t>
  </si>
  <si>
    <t>BUG-1474</t>
  </si>
  <si>
    <t>BUG-1475</t>
  </si>
  <si>
    <t>BUG-1476</t>
  </si>
  <si>
    <t>BUG-1477</t>
  </si>
  <si>
    <t>BUG-1478</t>
  </si>
  <si>
    <t>BUG-1479</t>
  </si>
  <si>
    <t>BUG-1480</t>
  </si>
  <si>
    <t>BUG-1481</t>
  </si>
  <si>
    <t>BUG-1482</t>
  </si>
  <si>
    <t>BUG-1483</t>
  </si>
  <si>
    <t>BUG-1484</t>
  </si>
  <si>
    <t>BUG-1485</t>
  </si>
  <si>
    <t>BUG-1486</t>
  </si>
  <si>
    <t>BUG-1487</t>
  </si>
  <si>
    <t>BUG-1488</t>
  </si>
  <si>
    <t>BUG-1489</t>
  </si>
  <si>
    <t>BUG-1490</t>
  </si>
  <si>
    <t>BUG-1491</t>
  </si>
  <si>
    <t>BUG-1492</t>
  </si>
  <si>
    <t>BUG-1493</t>
  </si>
  <si>
    <t>BUG-1494</t>
  </si>
  <si>
    <t>BUG-1495</t>
  </si>
  <si>
    <t>BUG-1496</t>
  </si>
  <si>
    <t>BUG-1497</t>
  </si>
  <si>
    <t>BUG-1498</t>
  </si>
  <si>
    <t>BUG-1499</t>
  </si>
  <si>
    <t>BUG-1500</t>
  </si>
  <si>
    <t>BUG-1501</t>
  </si>
  <si>
    <t>BUG-1502</t>
  </si>
  <si>
    <t>BUG-1503</t>
  </si>
  <si>
    <t>BUG-1504</t>
  </si>
  <si>
    <t>BUG-1505</t>
  </si>
  <si>
    <t>BUG-1506</t>
  </si>
  <si>
    <t>BUG-1507</t>
  </si>
  <si>
    <t>BUG-1508</t>
  </si>
  <si>
    <t>BUG-1509</t>
  </si>
  <si>
    <t>BUG-1510</t>
  </si>
  <si>
    <t>BUG-1511</t>
  </si>
  <si>
    <t>BUG-1512</t>
  </si>
  <si>
    <t>BUG-1513</t>
  </si>
  <si>
    <t>BUG-1514</t>
  </si>
  <si>
    <t>BUG-1515</t>
  </si>
  <si>
    <t>BUG-1516</t>
  </si>
  <si>
    <t>BUG-1517</t>
  </si>
  <si>
    <t>BUG-1518</t>
  </si>
  <si>
    <t>BUG-1519</t>
  </si>
  <si>
    <t>BUG-1520</t>
  </si>
  <si>
    <t>BUG-1521</t>
  </si>
  <si>
    <t>BUG-1522</t>
  </si>
  <si>
    <t>BUG-1523</t>
  </si>
  <si>
    <t>BUG-1524</t>
  </si>
  <si>
    <t>BUG-1525</t>
  </si>
  <si>
    <t>BUG-1526</t>
  </si>
  <si>
    <t>BUG-1527</t>
  </si>
  <si>
    <t>BUG-1528</t>
  </si>
  <si>
    <t>BUG-1529</t>
  </si>
  <si>
    <t>BUG-1530</t>
  </si>
  <si>
    <t>BUG-1531</t>
  </si>
  <si>
    <t>BUG-1532</t>
  </si>
  <si>
    <t>BUG-1533</t>
  </si>
  <si>
    <t>search cant be done for Mental Health</t>
  </si>
  <si>
    <t>cr12</t>
  </si>
  <si>
    <t>allows duplicate data entry</t>
  </si>
  <si>
    <t>self care</t>
  </si>
  <si>
    <t>cr02</t>
  </si>
  <si>
    <t>shows nepali content</t>
  </si>
  <si>
    <t xml:space="preserve">no pagination </t>
  </si>
  <si>
    <t>cr-10</t>
  </si>
  <si>
    <t>validation for title not present</t>
  </si>
  <si>
    <t>no nepali content</t>
  </si>
  <si>
    <t>lg-01 to lg05 and lg07</t>
  </si>
  <si>
    <t>other resources</t>
  </si>
  <si>
    <t>cr-search</t>
  </si>
  <si>
    <t>search can only be carried for the default title on load</t>
  </si>
  <si>
    <t>cr-12</t>
  </si>
  <si>
    <t>allows duplicate entry</t>
  </si>
  <si>
    <t>lg08</t>
  </si>
  <si>
    <t>lg09</t>
  </si>
  <si>
    <t>some content appears in nepali</t>
  </si>
  <si>
    <t>search can only be carried for the single category.</t>
  </si>
  <si>
    <t>Resources Categories</t>
  </si>
  <si>
    <t>field validation is not present for all</t>
  </si>
  <si>
    <t>some english content</t>
  </si>
  <si>
    <t>cr01and cr 02</t>
  </si>
  <si>
    <t>one card is in nepali and swasth mann category name is confused with mental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</si>
</sst>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4"/>
      <name val="Arial"/>
      <charset val="1"/>
    </font>
    <font>
      <sz val="10"/>
      <name val="Arial"/>
      <charset val="1"/>
    </font>
    <font>
      <b/>
      <sz val="10"/>
      <color rgb="FFFFFFFF"/>
      <name val="Arial"/>
      <charset val="1"/>
    </font>
    <font>
      <b/>
      <sz val="10"/>
      <name val="Arial"/>
      <charset val="1"/>
    </font>
    <font>
      <b/>
      <sz val="12"/>
      <color rgb="FFFFFFFF"/>
      <name val="Arial"/>
      <family val="2"/>
    </font>
    <font>
      <sz val="12"/>
      <name val="Arial"/>
      <family val="2"/>
    </font>
    <font>
      <sz val="12"/>
      <color theme="1"/>
      <name val="Calibri"/>
      <family val="2"/>
      <charset val="1"/>
    </font>
    <font>
      <sz val="10"/>
      <name val="Arial"/>
      <family val="2"/>
    </font>
    <font>
      <b/>
      <sz val="14"/>
      <color rgb="FFFFFFFF"/>
      <name val="Arial"/>
      <family val="2"/>
    </font>
    <font>
      <sz val="14"/>
      <name val="Arial"/>
      <family val="2"/>
    </font>
    <font>
      <sz val="14"/>
      <color theme="1"/>
      <name val="Calibri"/>
      <family val="2"/>
      <charset val="1"/>
    </font>
    <font>
      <sz val="8"/>
      <name val="Calibri"/>
      <family val="2"/>
      <charset val="1"/>
    </font>
    <font>
      <sz val="10"/>
      <name val="Arial"/>
      <family val="2"/>
      <charset val="1"/>
    </font>
    <font>
      <sz val="14"/>
      <color theme="1"/>
      <name val="Arial"/>
      <family val="2"/>
    </font>
  </fonts>
  <fills count="5">
    <fill>
      <patternFill patternType="none"/>
    </fill>
    <fill>
      <patternFill patternType="gray125"/>
    </fill>
    <fill>
      <patternFill patternType="solid">
        <fgColor rgb="FF1F4E78"/>
        <bgColor rgb="FF003366"/>
      </patternFill>
    </fill>
    <fill>
      <patternFill patternType="solid">
        <fgColor theme="0"/>
        <bgColor indexed="64"/>
      </patternFill>
    </fill>
    <fill>
      <patternFill patternType="solid">
        <fgColor theme="0" tint="-0.14999847407452621"/>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8" fillId="0" borderId="1" xfId="0" applyFont="1" applyBorder="1" applyAlignment="1">
      <alignment horizontal="center" vertical="top" wrapText="1"/>
    </xf>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7" fillId="0" borderId="0" xfId="0" applyFont="1"/>
    <xf numFmtId="0" fontId="9" fillId="2" borderId="1" xfId="0" applyFont="1" applyFill="1" applyBorder="1" applyAlignment="1">
      <alignment horizontal="center" vertical="center" wrapText="1"/>
    </xf>
    <xf numFmtId="0" fontId="10" fillId="0" borderId="1" xfId="0" applyFont="1" applyBorder="1" applyAlignment="1">
      <alignment vertical="top" wrapText="1"/>
    </xf>
    <xf numFmtId="0" fontId="11" fillId="0" borderId="0" xfId="0" applyFont="1"/>
    <xf numFmtId="0" fontId="8" fillId="0" borderId="1" xfId="0" applyFont="1" applyBorder="1" applyAlignment="1">
      <alignment vertical="top" wrapText="1"/>
    </xf>
    <xf numFmtId="0" fontId="9" fillId="2" borderId="1" xfId="0" applyFont="1" applyFill="1" applyBorder="1" applyAlignment="1">
      <alignment horizontal="left" vertical="center" wrapText="1"/>
    </xf>
    <xf numFmtId="0" fontId="10" fillId="0" borderId="1" xfId="0" applyFont="1" applyBorder="1" applyAlignment="1">
      <alignment horizontal="left" vertical="top" wrapText="1"/>
    </xf>
    <xf numFmtId="0" fontId="11" fillId="0" borderId="0" xfId="0" applyFont="1" applyAlignment="1">
      <alignment horizontal="left"/>
    </xf>
    <xf numFmtId="0" fontId="10" fillId="0" borderId="1" xfId="0" applyFont="1" applyBorder="1" applyAlignment="1">
      <alignment horizontal="center" vertical="top" wrapText="1"/>
    </xf>
    <xf numFmtId="0" fontId="13" fillId="0" borderId="1" xfId="0" applyFont="1" applyBorder="1" applyAlignment="1">
      <alignment horizontal="center" vertical="top" wrapText="1"/>
    </xf>
    <xf numFmtId="0" fontId="14" fillId="3" borderId="1" xfId="0" applyFont="1" applyFill="1" applyBorder="1" applyAlignment="1">
      <alignment horizontal="left" vertical="top" wrapText="1"/>
    </xf>
    <xf numFmtId="0" fontId="0" fillId="3" borderId="0" xfId="0" applyFill="1"/>
    <xf numFmtId="0" fontId="2" fillId="4" borderId="1" xfId="0" applyFont="1" applyFill="1" applyBorder="1" applyAlignment="1">
      <alignment vertical="top" wrapText="1"/>
    </xf>
    <xf numFmtId="0" fontId="10" fillId="4"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8" fillId="4" borderId="1" xfId="0" applyFont="1" applyFill="1" applyBorder="1" applyAlignment="1">
      <alignment horizontal="center" vertical="top" wrapText="1"/>
    </xf>
  </cellXfs>
  <cellStyles count="1">
    <cellStyle name="Normal" xfId="0" builtinId="0"/>
  </cellStyles>
  <dxfs count="10">
    <dxf>
      <fill>
        <patternFill>
          <bgColor rgb="FFD9D9D9"/>
        </patternFill>
      </fill>
    </dxf>
    <dxf>
      <fill>
        <patternFill>
          <bgColor rgb="FFFFEB9C"/>
        </patternFill>
      </fill>
    </dxf>
    <dxf>
      <fill>
        <patternFill>
          <bgColor rgb="FFFFC7CE"/>
        </patternFill>
      </fill>
    </dxf>
    <dxf>
      <fill>
        <patternFill>
          <bgColor rgb="FFC6EFCE"/>
        </patternFill>
      </fill>
    </dxf>
    <dxf>
      <fill>
        <patternFill>
          <bgColor rgb="FFD9D9D9"/>
        </patternFill>
      </fill>
    </dxf>
    <dxf>
      <fill>
        <patternFill>
          <bgColor rgb="FFFFEB9C"/>
        </patternFill>
      </fill>
    </dxf>
    <dxf>
      <fill>
        <patternFill>
          <bgColor rgb="FFFFC7CE"/>
        </patternFill>
      </fill>
    </dxf>
    <dxf>
      <fill>
        <patternFill>
          <bgColor rgb="FFC6EFCE"/>
        </patternFill>
      </fill>
    </dxf>
    <dxf>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zoomScale="160" zoomScaleNormal="160" workbookViewId="0"/>
  </sheetViews>
  <sheetFormatPr defaultColWidth="8.7109375" defaultRowHeight="15" x14ac:dyDescent="0.25"/>
  <cols>
    <col min="1" max="1" width="130" customWidth="1"/>
  </cols>
  <sheetData>
    <row r="1" spans="1:1" ht="18" x14ac:dyDescent="0.25">
      <c r="A1" s="1" t="s">
        <v>0</v>
      </c>
    </row>
    <row r="3" spans="1:1" x14ac:dyDescent="0.25">
      <c r="A3" s="2" t="s">
        <v>1</v>
      </c>
    </row>
    <row r="4" spans="1:1" x14ac:dyDescent="0.25">
      <c r="A4" s="2" t="s">
        <v>2</v>
      </c>
    </row>
    <row r="5" spans="1:1" ht="25.5" x14ac:dyDescent="0.25">
      <c r="A5" s="2" t="s">
        <v>3</v>
      </c>
    </row>
    <row r="6" spans="1:1" x14ac:dyDescent="0.25">
      <c r="A6" s="2" t="s">
        <v>4</v>
      </c>
    </row>
    <row r="7" spans="1:1" x14ac:dyDescent="0.25">
      <c r="A7" s="2" t="s">
        <v>5</v>
      </c>
    </row>
    <row r="8" spans="1:1" x14ac:dyDescent="0.25">
      <c r="A8" s="2" t="s">
        <v>6</v>
      </c>
    </row>
    <row r="9" spans="1:1" ht="25.5" x14ac:dyDescent="0.25">
      <c r="A9" s="2" t="s">
        <v>7</v>
      </c>
    </row>
    <row r="10" spans="1:1" x14ac:dyDescent="0.25">
      <c r="A10" s="2" t="s">
        <v>8</v>
      </c>
    </row>
    <row r="11" spans="1:1" ht="25.5" x14ac:dyDescent="0.25">
      <c r="A11" s="2" t="s">
        <v>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zoomScaleNormal="100" workbookViewId="0">
      <pane ySplit="3" topLeftCell="A4" activePane="bottomLeft" state="frozen"/>
      <selection pane="bottomLeft" activeCell="D16" sqref="D16"/>
    </sheetView>
  </sheetViews>
  <sheetFormatPr defaultColWidth="8.7109375" defaultRowHeight="15" x14ac:dyDescent="0.25"/>
  <cols>
    <col min="1" max="1" width="30" customWidth="1"/>
    <col min="2" max="7" width="11" customWidth="1"/>
  </cols>
  <sheetData>
    <row r="1" spans="1:7" ht="18" x14ac:dyDescent="0.25">
      <c r="A1" s="1" t="s">
        <v>10</v>
      </c>
    </row>
    <row r="3" spans="1:7" x14ac:dyDescent="0.25">
      <c r="A3" s="3" t="s">
        <v>11</v>
      </c>
      <c r="B3" s="3" t="s">
        <v>12</v>
      </c>
      <c r="C3" s="3" t="s">
        <v>13</v>
      </c>
      <c r="D3" s="3" t="s">
        <v>14</v>
      </c>
      <c r="E3" s="3" t="s">
        <v>15</v>
      </c>
      <c r="F3" s="3" t="s">
        <v>16</v>
      </c>
      <c r="G3" s="3" t="s">
        <v>17</v>
      </c>
    </row>
    <row r="4" spans="1:7" x14ac:dyDescent="0.25">
      <c r="A4" s="4" t="s">
        <v>18</v>
      </c>
      <c r="B4" s="5">
        <f>COUNTA('Test Matrix'!$A$2:$A$37)</f>
        <v>35</v>
      </c>
      <c r="C4" s="5">
        <f>COUNTIF('Test Matrix'!D2:D37,"Pass")</f>
        <v>25</v>
      </c>
      <c r="D4" s="5">
        <f>COUNTIF('Test Matrix'!D2:D37,"Fail")</f>
        <v>6</v>
      </c>
      <c r="E4" s="5">
        <f>COUNTIF('Test Matrix'!D2:D37,"Blocked")</f>
        <v>0</v>
      </c>
      <c r="F4" s="5">
        <f>COUNTIF('Test Matrix'!D2:D37,"N/A")</f>
        <v>4</v>
      </c>
      <c r="G4" s="5">
        <f t="shared" ref="G4:G28" si="0">B4-SUM(C4:F4)</f>
        <v>0</v>
      </c>
    </row>
    <row r="5" spans="1:7" x14ac:dyDescent="0.25">
      <c r="A5" s="4" t="s">
        <v>19</v>
      </c>
      <c r="B5" s="5">
        <f>COUNTA('Test Matrix'!$A$2:$A$37)</f>
        <v>35</v>
      </c>
      <c r="C5" s="5">
        <f>COUNTIF('Test Matrix'!E2:E37,"Pass")</f>
        <v>27</v>
      </c>
      <c r="D5" s="5">
        <f>COUNTIF('Test Matrix'!E2:E37,"Fail")</f>
        <v>5</v>
      </c>
      <c r="E5" s="5">
        <f>COUNTIF('Test Matrix'!E2:E37,"Blocked")</f>
        <v>0</v>
      </c>
      <c r="F5" s="5">
        <f>COUNTIF('Test Matrix'!E2:E37,"N/A")</f>
        <v>3</v>
      </c>
      <c r="G5" s="5">
        <f t="shared" si="0"/>
        <v>0</v>
      </c>
    </row>
    <row r="6" spans="1:7" x14ac:dyDescent="0.25">
      <c r="A6" s="4" t="s">
        <v>20</v>
      </c>
      <c r="B6" s="5">
        <f>COUNTA('Test Matrix'!$A$2:$A$37)</f>
        <v>35</v>
      </c>
      <c r="C6" s="5">
        <f>COUNTIF('Test Matrix'!F2:F37,"Pass")</f>
        <v>27</v>
      </c>
      <c r="D6" s="5">
        <f>COUNTIF('Test Matrix'!F2:F37,"Fail")</f>
        <v>7</v>
      </c>
      <c r="E6" s="5">
        <f>COUNTIF('Test Matrix'!F2:F37,"Blocked")</f>
        <v>0</v>
      </c>
      <c r="F6" s="5">
        <f>COUNTIF('Test Matrix'!F2:F37,"N/A")</f>
        <v>1</v>
      </c>
      <c r="G6" s="5">
        <f t="shared" si="0"/>
        <v>0</v>
      </c>
    </row>
    <row r="7" spans="1:7" x14ac:dyDescent="0.25">
      <c r="A7" s="4" t="s">
        <v>21</v>
      </c>
      <c r="B7" s="5">
        <f>COUNTA('Test Matrix'!$A$2:$A$37)</f>
        <v>35</v>
      </c>
      <c r="C7" s="5">
        <f>COUNTIF('Test Matrix'!G2:G37,"Pass")</f>
        <v>28</v>
      </c>
      <c r="D7" s="5">
        <f>COUNTIF('Test Matrix'!G2:G37,"Fail")</f>
        <v>2</v>
      </c>
      <c r="E7" s="5">
        <f>COUNTIF('Test Matrix'!G2:G37,"Blocked")</f>
        <v>0</v>
      </c>
      <c r="F7" s="5">
        <f>COUNTIF('Test Matrix'!G2:G37,"N/A")</f>
        <v>5</v>
      </c>
      <c r="G7" s="5">
        <f t="shared" si="0"/>
        <v>0</v>
      </c>
    </row>
    <row r="8" spans="1:7" x14ac:dyDescent="0.25">
      <c r="A8" s="4" t="s">
        <v>22</v>
      </c>
      <c r="B8" s="5">
        <f>COUNTA('Test Matrix'!$A$2:$A$37)</f>
        <v>35</v>
      </c>
      <c r="C8" s="5">
        <f>COUNTIF('Test Matrix'!H2:H37,"Pass")</f>
        <v>29</v>
      </c>
      <c r="D8" s="5">
        <f>COUNTIF('Test Matrix'!H2:H37,"Fail")</f>
        <v>3</v>
      </c>
      <c r="E8" s="5">
        <f>COUNTIF('Test Matrix'!H2:H37,"Blocked")</f>
        <v>0</v>
      </c>
      <c r="F8" s="5">
        <f>COUNTIF('Test Matrix'!H2:H37,"N/A")</f>
        <v>3</v>
      </c>
      <c r="G8" s="5">
        <f t="shared" si="0"/>
        <v>0</v>
      </c>
    </row>
    <row r="9" spans="1:7" x14ac:dyDescent="0.25">
      <c r="A9" s="4" t="s">
        <v>23</v>
      </c>
      <c r="B9" s="5">
        <f>COUNTA('Test Matrix'!$A$2:$A$37)</f>
        <v>35</v>
      </c>
      <c r="C9" s="5">
        <f>COUNTIF('Test Matrix'!I2:I37,"Pass")</f>
        <v>28</v>
      </c>
      <c r="D9" s="5">
        <f>COUNTIF('Test Matrix'!I2:I37,"Fail")</f>
        <v>5</v>
      </c>
      <c r="E9" s="5">
        <f>COUNTIF('Test Matrix'!I2:I37,"Blocked")</f>
        <v>0</v>
      </c>
      <c r="F9" s="5">
        <f>COUNTIF('Test Matrix'!I2:I37,"N/A")</f>
        <v>2</v>
      </c>
      <c r="G9" s="5">
        <f t="shared" si="0"/>
        <v>0</v>
      </c>
    </row>
    <row r="10" spans="1:7" x14ac:dyDescent="0.25">
      <c r="A10" s="4" t="s">
        <v>24</v>
      </c>
      <c r="B10" s="5">
        <f>COUNTA('Test Matrix'!$A$2:$A$37)</f>
        <v>35</v>
      </c>
      <c r="C10" s="5">
        <f>COUNTIF('Test Matrix'!J2:J37,"Pass")</f>
        <v>26</v>
      </c>
      <c r="D10" s="5">
        <f>COUNTIF('Test Matrix'!J2:J37,"Fail")</f>
        <v>6</v>
      </c>
      <c r="E10" s="5">
        <f>COUNTIF('Test Matrix'!J2:J37,"Blocked")</f>
        <v>0</v>
      </c>
      <c r="F10" s="5">
        <f>COUNTIF('Test Matrix'!J2:J37,"N/A")</f>
        <v>3</v>
      </c>
      <c r="G10" s="5">
        <f t="shared" si="0"/>
        <v>0</v>
      </c>
    </row>
    <row r="11" spans="1:7" x14ac:dyDescent="0.25">
      <c r="A11" s="4" t="s">
        <v>25</v>
      </c>
      <c r="B11" s="5">
        <f>COUNTA('Test Matrix'!$A$2:$A$37)</f>
        <v>35</v>
      </c>
      <c r="C11" s="5">
        <f>COUNTIF('Test Matrix'!K2:K37,"Pass")</f>
        <v>24</v>
      </c>
      <c r="D11" s="5">
        <f>COUNTIF('Test Matrix'!K2:K37,"Fail")</f>
        <v>5</v>
      </c>
      <c r="E11" s="5">
        <f>COUNTIF('Test Matrix'!K2:K37,"Blocked")</f>
        <v>0</v>
      </c>
      <c r="F11" s="5">
        <f>COUNTIF('Test Matrix'!K2:K37,"N/A")</f>
        <v>6</v>
      </c>
      <c r="G11" s="5">
        <f t="shared" si="0"/>
        <v>0</v>
      </c>
    </row>
    <row r="12" spans="1:7" x14ac:dyDescent="0.25">
      <c r="A12" s="4" t="s">
        <v>26</v>
      </c>
      <c r="B12" s="5">
        <f>COUNTA('Test Matrix'!$A$2:$A$37)</f>
        <v>35</v>
      </c>
      <c r="C12" s="5">
        <f>COUNTIF('Test Matrix'!L2:L37,"Pass")</f>
        <v>24</v>
      </c>
      <c r="D12" s="5">
        <f>COUNTIF('Test Matrix'!L2:L37,"Fail")</f>
        <v>8</v>
      </c>
      <c r="E12" s="5">
        <f>COUNTIF('Test Matrix'!L2:L37,"Blocked")</f>
        <v>0</v>
      </c>
      <c r="F12" s="5">
        <f>COUNTIF('Test Matrix'!L2:L37,"N/A")</f>
        <v>3</v>
      </c>
      <c r="G12" s="5">
        <f t="shared" si="0"/>
        <v>0</v>
      </c>
    </row>
    <row r="13" spans="1:7" x14ac:dyDescent="0.25">
      <c r="A13" s="4" t="s">
        <v>27</v>
      </c>
      <c r="B13" s="5">
        <f>COUNTA('Test Matrix'!$A$2:$A$37)</f>
        <v>35</v>
      </c>
      <c r="C13" s="5">
        <f>COUNTIF('Test Matrix'!M2:M37,"Pass")</f>
        <v>25</v>
      </c>
      <c r="D13" s="5">
        <f>COUNTIF('Test Matrix'!M2:M37,"Fail")</f>
        <v>5</v>
      </c>
      <c r="E13" s="5">
        <f>COUNTIF('Test Matrix'!M2:M37,"Blocked")</f>
        <v>0</v>
      </c>
      <c r="F13" s="5">
        <f>COUNTIF('Test Matrix'!M2:M37,"N/A")</f>
        <v>4</v>
      </c>
      <c r="G13" s="5">
        <f t="shared" si="0"/>
        <v>1</v>
      </c>
    </row>
    <row r="14" spans="1:7" x14ac:dyDescent="0.25">
      <c r="A14" s="4" t="s">
        <v>28</v>
      </c>
      <c r="B14" s="5">
        <f>COUNTA('Test Matrix'!$A$2:$A$37)</f>
        <v>35</v>
      </c>
      <c r="C14" s="5">
        <f>COUNTIF('Test Matrix'!N2:N37,"Pass")</f>
        <v>25</v>
      </c>
      <c r="D14" s="5">
        <f>COUNTIF('Test Matrix'!N2:N37,"Fail")</f>
        <v>6</v>
      </c>
      <c r="E14" s="5">
        <f>COUNTIF('Test Matrix'!N2:N37,"Blocked")</f>
        <v>0</v>
      </c>
      <c r="F14" s="5">
        <f>COUNTIF('Test Matrix'!N2:N37,"N/A")</f>
        <v>4</v>
      </c>
      <c r="G14" s="5">
        <f t="shared" si="0"/>
        <v>0</v>
      </c>
    </row>
    <row r="15" spans="1:7" x14ac:dyDescent="0.25">
      <c r="A15" s="4" t="s">
        <v>29</v>
      </c>
      <c r="B15" s="5">
        <f>COUNTA('Test Matrix'!$A$2:$A$37)</f>
        <v>35</v>
      </c>
      <c r="C15" s="5">
        <f>COUNTIF('Test Matrix'!O2:O37,"Pass")</f>
        <v>25</v>
      </c>
      <c r="D15" s="5">
        <f>COUNTIF('Test Matrix'!O2:O37,"Fail")</f>
        <v>5</v>
      </c>
      <c r="E15" s="5">
        <f>COUNTIF('Test Matrix'!O2:O37,"Blocked")</f>
        <v>0</v>
      </c>
      <c r="F15" s="5">
        <f>COUNTIF('Test Matrix'!O2:O37,"N/A")</f>
        <v>5</v>
      </c>
      <c r="G15" s="5">
        <f t="shared" si="0"/>
        <v>0</v>
      </c>
    </row>
    <row r="16" spans="1:7" x14ac:dyDescent="0.25">
      <c r="A16" s="4" t="s">
        <v>30</v>
      </c>
      <c r="B16" s="5">
        <f>COUNTA('Test Matrix'!$A$2:$A$37)</f>
        <v>35</v>
      </c>
      <c r="C16" s="5">
        <f>COUNTIF('Test Matrix'!P2:P37,"Pass")</f>
        <v>27</v>
      </c>
      <c r="D16" s="5">
        <f>COUNTIF('Test Matrix'!P2:P37,"Fail")</f>
        <v>3</v>
      </c>
      <c r="E16" s="5">
        <f>COUNTIF('Test Matrix'!P2:P37,"Blocked")</f>
        <v>0</v>
      </c>
      <c r="F16" s="5">
        <f>COUNTIF('Test Matrix'!P2:P37,"N/A")</f>
        <v>5</v>
      </c>
      <c r="G16" s="5">
        <f t="shared" si="0"/>
        <v>0</v>
      </c>
    </row>
    <row r="17" spans="1:7" x14ac:dyDescent="0.25">
      <c r="A17" s="4" t="s">
        <v>31</v>
      </c>
      <c r="B17" s="5">
        <f>COUNTA('Test Matrix'!$A$2:$A$37)</f>
        <v>35</v>
      </c>
      <c r="C17" s="5">
        <f>COUNTIF('Test Matrix'!Q2:Q37,"Pass")</f>
        <v>27</v>
      </c>
      <c r="D17" s="5">
        <f>COUNTIF('Test Matrix'!Q2:Q37,"Fail")</f>
        <v>5</v>
      </c>
      <c r="E17" s="5">
        <f>COUNTIF('Test Matrix'!Q2:Q37,"Blocked")</f>
        <v>0</v>
      </c>
      <c r="F17" s="5">
        <f>COUNTIF('Test Matrix'!Q2:Q37,"N/A")</f>
        <v>3</v>
      </c>
      <c r="G17" s="5">
        <f t="shared" si="0"/>
        <v>0</v>
      </c>
    </row>
    <row r="18" spans="1:7" x14ac:dyDescent="0.25">
      <c r="A18" s="4" t="s">
        <v>32</v>
      </c>
      <c r="B18" s="5">
        <f>COUNTA('Test Matrix'!$A$2:$A$37)</f>
        <v>35</v>
      </c>
      <c r="C18" s="5">
        <f>COUNTIF('Test Matrix'!R2:R37,"Pass")</f>
        <v>1</v>
      </c>
      <c r="D18" s="5">
        <f>COUNTIF('Test Matrix'!R2:R37,"Fail")</f>
        <v>1</v>
      </c>
      <c r="E18" s="5">
        <f>COUNTIF('Test Matrix'!R2:R37,"Blocked")</f>
        <v>0</v>
      </c>
      <c r="F18" s="5">
        <f>COUNTIF('Test Matrix'!R2:R37,"N/A")</f>
        <v>0</v>
      </c>
      <c r="G18" s="5">
        <f t="shared" si="0"/>
        <v>33</v>
      </c>
    </row>
    <row r="19" spans="1:7" x14ac:dyDescent="0.25">
      <c r="A19" s="4" t="s">
        <v>33</v>
      </c>
      <c r="B19" s="5">
        <f>COUNTA('Test Matrix'!$A$2:$A$37)</f>
        <v>35</v>
      </c>
      <c r="C19" s="5">
        <f>COUNTIF('Test Matrix'!S2:S37,"Pass")</f>
        <v>0</v>
      </c>
      <c r="D19" s="5">
        <f>COUNTIF('Test Matrix'!S2:S37,"Fail")</f>
        <v>0</v>
      </c>
      <c r="E19" s="5">
        <f>COUNTIF('Test Matrix'!S2:S37,"Blocked")</f>
        <v>0</v>
      </c>
      <c r="F19" s="5">
        <f>COUNTIF('Test Matrix'!S2:S37,"N/A")</f>
        <v>0</v>
      </c>
      <c r="G19" s="5">
        <f t="shared" si="0"/>
        <v>35</v>
      </c>
    </row>
    <row r="20" spans="1:7" x14ac:dyDescent="0.25">
      <c r="A20" s="4" t="s">
        <v>34</v>
      </c>
      <c r="B20" s="5">
        <f>COUNTA('Test Matrix'!$A$2:$A$37)</f>
        <v>35</v>
      </c>
      <c r="C20" s="5">
        <f>COUNTIF('Test Matrix'!T2:T37,"Pass")</f>
        <v>0</v>
      </c>
      <c r="D20" s="5">
        <f>COUNTIF('Test Matrix'!T2:T37,"Fail")</f>
        <v>0</v>
      </c>
      <c r="E20" s="5">
        <f>COUNTIF('Test Matrix'!T2:T37,"Blocked")</f>
        <v>0</v>
      </c>
      <c r="F20" s="5">
        <f>COUNTIF('Test Matrix'!T2:T37,"N/A")</f>
        <v>0</v>
      </c>
      <c r="G20" s="5">
        <f t="shared" si="0"/>
        <v>35</v>
      </c>
    </row>
    <row r="21" spans="1:7" x14ac:dyDescent="0.25">
      <c r="A21" s="4" t="s">
        <v>35</v>
      </c>
      <c r="B21" s="5">
        <f>COUNTA('Test Matrix'!$A$2:$A$37)</f>
        <v>35</v>
      </c>
      <c r="C21" s="5">
        <f>COUNTIF('Test Matrix'!U2:U37,"Pass")</f>
        <v>0</v>
      </c>
      <c r="D21" s="5">
        <f>COUNTIF('Test Matrix'!U2:U37,"Fail")</f>
        <v>0</v>
      </c>
      <c r="E21" s="5">
        <f>COUNTIF('Test Matrix'!U2:U37,"Blocked")</f>
        <v>0</v>
      </c>
      <c r="F21" s="5">
        <f>COUNTIF('Test Matrix'!U2:U37,"N/A")</f>
        <v>0</v>
      </c>
      <c r="G21" s="5">
        <f t="shared" si="0"/>
        <v>35</v>
      </c>
    </row>
    <row r="22" spans="1:7" x14ac:dyDescent="0.25">
      <c r="A22" s="4" t="s">
        <v>36</v>
      </c>
      <c r="B22" s="5">
        <f>COUNTA('Test Matrix'!$A$2:$A$37)</f>
        <v>35</v>
      </c>
      <c r="C22" s="5">
        <f>COUNTIF('Test Matrix'!V2:V37,"Pass")</f>
        <v>0</v>
      </c>
      <c r="D22" s="5">
        <f>COUNTIF('Test Matrix'!V2:V37,"Fail")</f>
        <v>0</v>
      </c>
      <c r="E22" s="5">
        <f>COUNTIF('Test Matrix'!V2:V37,"Blocked")</f>
        <v>0</v>
      </c>
      <c r="F22" s="5">
        <f>COUNTIF('Test Matrix'!V2:V37,"N/A")</f>
        <v>0</v>
      </c>
      <c r="G22" s="5">
        <f t="shared" si="0"/>
        <v>35</v>
      </c>
    </row>
    <row r="23" spans="1:7" x14ac:dyDescent="0.25">
      <c r="A23" s="4" t="s">
        <v>37</v>
      </c>
      <c r="B23" s="5">
        <f>COUNTA('Test Matrix'!$A$2:$A$37)</f>
        <v>35</v>
      </c>
      <c r="C23" s="5">
        <f>COUNTIF('Test Matrix'!W2:W37,"Pass")</f>
        <v>0</v>
      </c>
      <c r="D23" s="5">
        <f>COUNTIF('Test Matrix'!W2:W37,"Fail")</f>
        <v>0</v>
      </c>
      <c r="E23" s="5">
        <f>COUNTIF('Test Matrix'!W2:W37,"Blocked")</f>
        <v>0</v>
      </c>
      <c r="F23" s="5">
        <f>COUNTIF('Test Matrix'!W2:W37,"N/A")</f>
        <v>0</v>
      </c>
      <c r="G23" s="5">
        <f t="shared" si="0"/>
        <v>35</v>
      </c>
    </row>
    <row r="24" spans="1:7" x14ac:dyDescent="0.25">
      <c r="A24" s="4" t="s">
        <v>38</v>
      </c>
      <c r="B24" s="5">
        <f>COUNTA('Test Matrix'!$A$2:$A$37)</f>
        <v>35</v>
      </c>
      <c r="C24" s="5">
        <f>COUNTIF('Test Matrix'!X2:X37,"Pass")</f>
        <v>0</v>
      </c>
      <c r="D24" s="5">
        <f>COUNTIF('Test Matrix'!X2:X37,"Fail")</f>
        <v>0</v>
      </c>
      <c r="E24" s="5">
        <f>COUNTIF('Test Matrix'!X2:X37,"Blocked")</f>
        <v>0</v>
      </c>
      <c r="F24" s="5">
        <f>COUNTIF('Test Matrix'!X2:X37,"N/A")</f>
        <v>0</v>
      </c>
      <c r="G24" s="5">
        <f t="shared" si="0"/>
        <v>35</v>
      </c>
    </row>
    <row r="25" spans="1:7" x14ac:dyDescent="0.25">
      <c r="A25" s="4" t="s">
        <v>39</v>
      </c>
      <c r="B25" s="5">
        <f>COUNTA('Test Matrix'!$A$2:$A$37)</f>
        <v>35</v>
      </c>
      <c r="C25" s="5">
        <f>COUNTIF('Test Matrix'!Y2:Y37,"Pass")</f>
        <v>0</v>
      </c>
      <c r="D25" s="5">
        <f>COUNTIF('Test Matrix'!Y2:Y37,"Fail")</f>
        <v>0</v>
      </c>
      <c r="E25" s="5">
        <f>COUNTIF('Test Matrix'!Y2:Y37,"Blocked")</f>
        <v>0</v>
      </c>
      <c r="F25" s="5">
        <f>COUNTIF('Test Matrix'!Y2:Y37,"N/A")</f>
        <v>0</v>
      </c>
      <c r="G25" s="5">
        <f t="shared" si="0"/>
        <v>35</v>
      </c>
    </row>
    <row r="26" spans="1:7" x14ac:dyDescent="0.25">
      <c r="A26" s="4" t="s">
        <v>40</v>
      </c>
      <c r="B26" s="5">
        <f>COUNTA('Test Matrix'!$A$2:$A$37)</f>
        <v>35</v>
      </c>
      <c r="C26" s="5">
        <f>COUNTIF('Test Matrix'!Z2:Z37,"Pass")</f>
        <v>0</v>
      </c>
      <c r="D26" s="5">
        <f>COUNTIF('Test Matrix'!Z2:Z37,"Fail")</f>
        <v>0</v>
      </c>
      <c r="E26" s="5">
        <f>COUNTIF('Test Matrix'!Z2:Z37,"Blocked")</f>
        <v>0</v>
      </c>
      <c r="F26" s="5">
        <f>COUNTIF('Test Matrix'!Z2:Z37,"N/A")</f>
        <v>0</v>
      </c>
      <c r="G26" s="5">
        <f t="shared" si="0"/>
        <v>35</v>
      </c>
    </row>
    <row r="27" spans="1:7" x14ac:dyDescent="0.25">
      <c r="A27" s="4" t="s">
        <v>41</v>
      </c>
      <c r="B27" s="5">
        <f>COUNTA('Test Matrix'!$A$2:$A$37)</f>
        <v>35</v>
      </c>
      <c r="C27" s="5">
        <f>COUNTIF('Test Matrix'!AA2:AA37,"Pass")</f>
        <v>0</v>
      </c>
      <c r="D27" s="5">
        <f>COUNTIF('Test Matrix'!AA2:AA37,"Fail")</f>
        <v>0</v>
      </c>
      <c r="E27" s="5">
        <f>COUNTIF('Test Matrix'!AA2:AA37,"Blocked")</f>
        <v>0</v>
      </c>
      <c r="F27" s="5">
        <f>COUNTIF('Test Matrix'!AA2:AA37,"N/A")</f>
        <v>0</v>
      </c>
      <c r="G27" s="5">
        <f t="shared" si="0"/>
        <v>35</v>
      </c>
    </row>
    <row r="28" spans="1:7" x14ac:dyDescent="0.25">
      <c r="A28" s="4" t="s">
        <v>42</v>
      </c>
      <c r="B28" s="5">
        <f>COUNTA('Test Matrix'!$A$2:$A$37)</f>
        <v>35</v>
      </c>
      <c r="C28" s="5">
        <f>COUNTIF('Test Matrix'!AB2:AB37,"Pass")</f>
        <v>0</v>
      </c>
      <c r="D28" s="5">
        <f>COUNTIF('Test Matrix'!AB2:AB37,"Fail")</f>
        <v>0</v>
      </c>
      <c r="E28" s="5">
        <f>COUNTIF('Test Matrix'!AB2:AB37,"Blocked")</f>
        <v>0</v>
      </c>
      <c r="F28" s="5">
        <f>COUNTIF('Test Matrix'!AB2:AB37,"N/A")</f>
        <v>0</v>
      </c>
      <c r="G28" s="5">
        <f t="shared" si="0"/>
        <v>35</v>
      </c>
    </row>
    <row r="29" spans="1:7" x14ac:dyDescent="0.25">
      <c r="A29" s="6" t="s">
        <v>12</v>
      </c>
      <c r="B29" s="7">
        <f t="shared" ref="B29:G29" si="1">SUM(B4:B28)</f>
        <v>875</v>
      </c>
      <c r="C29" s="7">
        <f t="shared" si="1"/>
        <v>368</v>
      </c>
      <c r="D29" s="7">
        <f t="shared" si="1"/>
        <v>72</v>
      </c>
      <c r="E29" s="7">
        <f t="shared" si="1"/>
        <v>0</v>
      </c>
      <c r="F29" s="7">
        <f t="shared" si="1"/>
        <v>51</v>
      </c>
      <c r="G29" s="7">
        <f t="shared" si="1"/>
        <v>384</v>
      </c>
    </row>
    <row r="31" spans="1:7" x14ac:dyDescent="0.25">
      <c r="A31" s="4" t="s">
        <v>43</v>
      </c>
      <c r="B31" s="5">
        <f>COUNTA(Authentication!$A$2:$A$50)</f>
        <v>49</v>
      </c>
      <c r="C31" s="5">
        <f>COUNTIF(Authentication!$H$2:$H$50,"Pass")</f>
        <v>37</v>
      </c>
      <c r="D31" s="5">
        <f>COUNTIF(Authentication!$H$2:$H$50,"Fail")</f>
        <v>3</v>
      </c>
      <c r="E31" s="5">
        <f>COUNTIF(Authentication!$H$2:$H$50,"Blocked")</f>
        <v>0</v>
      </c>
      <c r="F31" s="5" t="s">
        <v>44</v>
      </c>
      <c r="G31" s="5">
        <f>B31-C31-D31-E31</f>
        <v>9</v>
      </c>
    </row>
  </sheetData>
  <conditionalFormatting sqref="D4:D28">
    <cfRule type="cellIs" dxfId="9" priority="2" operator="greater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zoomScale="130" zoomScaleNormal="130" workbookViewId="0">
      <pane ySplit="1" topLeftCell="A14" activePane="bottomLeft" state="frozen"/>
      <selection pane="bottomLeft" activeCell="E26" sqref="E26"/>
    </sheetView>
  </sheetViews>
  <sheetFormatPr defaultColWidth="8.7109375" defaultRowHeight="15" x14ac:dyDescent="0.25"/>
  <cols>
    <col min="1" max="1" width="12" customWidth="1"/>
    <col min="2" max="2" width="11" customWidth="1"/>
    <col min="3" max="3" width="34" customWidth="1"/>
    <col min="4" max="4" width="28" customWidth="1"/>
    <col min="5" max="5" width="44" customWidth="1"/>
    <col min="6" max="6" width="52" customWidth="1"/>
    <col min="7" max="7" width="17" customWidth="1"/>
  </cols>
  <sheetData>
    <row r="1" spans="1:7" ht="25.5" x14ac:dyDescent="0.25">
      <c r="A1" s="3" t="s">
        <v>45</v>
      </c>
      <c r="B1" s="3" t="s">
        <v>46</v>
      </c>
      <c r="C1" s="3" t="s">
        <v>47</v>
      </c>
      <c r="D1" s="3" t="s">
        <v>48</v>
      </c>
      <c r="E1" s="3" t="s">
        <v>49</v>
      </c>
      <c r="F1" s="3" t="s">
        <v>50</v>
      </c>
      <c r="G1" s="3" t="s">
        <v>51</v>
      </c>
    </row>
    <row r="2" spans="1:7" ht="25.5" x14ac:dyDescent="0.25">
      <c r="A2" s="4" t="s">
        <v>52</v>
      </c>
      <c r="B2" s="4" t="s">
        <v>53</v>
      </c>
      <c r="C2" s="4" t="s">
        <v>54</v>
      </c>
      <c r="D2" s="4" t="s">
        <v>55</v>
      </c>
      <c r="E2" s="4" t="s">
        <v>56</v>
      </c>
      <c r="F2" s="4" t="s">
        <v>57</v>
      </c>
      <c r="G2" s="4" t="s">
        <v>58</v>
      </c>
    </row>
    <row r="3" spans="1:7" ht="25.5" x14ac:dyDescent="0.25">
      <c r="A3" s="4" t="s">
        <v>59</v>
      </c>
      <c r="B3" s="4" t="s">
        <v>53</v>
      </c>
      <c r="C3" s="4" t="s">
        <v>60</v>
      </c>
      <c r="D3" s="4" t="s">
        <v>61</v>
      </c>
      <c r="E3" s="4" t="s">
        <v>62</v>
      </c>
      <c r="F3" s="4" t="s">
        <v>63</v>
      </c>
      <c r="G3" s="4" t="s">
        <v>58</v>
      </c>
    </row>
    <row r="4" spans="1:7" x14ac:dyDescent="0.25">
      <c r="A4" s="4" t="s">
        <v>64</v>
      </c>
      <c r="B4" s="4" t="s">
        <v>53</v>
      </c>
      <c r="C4" s="4" t="s">
        <v>65</v>
      </c>
      <c r="D4" s="4" t="s">
        <v>61</v>
      </c>
      <c r="E4" s="4" t="s">
        <v>66</v>
      </c>
      <c r="F4" s="4" t="s">
        <v>67</v>
      </c>
      <c r="G4" s="4" t="s">
        <v>58</v>
      </c>
    </row>
    <row r="5" spans="1:7" x14ac:dyDescent="0.25">
      <c r="A5" s="4" t="s">
        <v>68</v>
      </c>
      <c r="B5" s="4" t="s">
        <v>53</v>
      </c>
      <c r="C5" s="4" t="s">
        <v>69</v>
      </c>
      <c r="D5" s="4" t="s">
        <v>70</v>
      </c>
      <c r="E5" s="4" t="s">
        <v>71</v>
      </c>
      <c r="F5" s="4" t="s">
        <v>72</v>
      </c>
      <c r="G5" s="4" t="s">
        <v>58</v>
      </c>
    </row>
    <row r="6" spans="1:7" ht="25.5" x14ac:dyDescent="0.25">
      <c r="A6" s="4" t="s">
        <v>73</v>
      </c>
      <c r="B6" s="4" t="s">
        <v>53</v>
      </c>
      <c r="C6" s="4" t="s">
        <v>74</v>
      </c>
      <c r="D6" s="4" t="s">
        <v>70</v>
      </c>
      <c r="E6" s="4" t="s">
        <v>75</v>
      </c>
      <c r="F6" s="4" t="s">
        <v>76</v>
      </c>
      <c r="G6" s="4" t="s">
        <v>58</v>
      </c>
    </row>
    <row r="7" spans="1:7" ht="25.5" x14ac:dyDescent="0.25">
      <c r="A7" s="4" t="s">
        <v>77</v>
      </c>
      <c r="B7" s="4" t="s">
        <v>53</v>
      </c>
      <c r="C7" s="4" t="s">
        <v>78</v>
      </c>
      <c r="D7" s="4" t="s">
        <v>79</v>
      </c>
      <c r="E7" s="4" t="s">
        <v>80</v>
      </c>
      <c r="F7" s="4" t="s">
        <v>81</v>
      </c>
      <c r="G7" s="4" t="s">
        <v>58</v>
      </c>
    </row>
    <row r="8" spans="1:7" x14ac:dyDescent="0.25">
      <c r="A8" s="4" t="s">
        <v>82</v>
      </c>
      <c r="B8" s="4" t="s">
        <v>53</v>
      </c>
      <c r="C8" s="4" t="s">
        <v>83</v>
      </c>
      <c r="D8" s="4" t="s">
        <v>84</v>
      </c>
      <c r="E8" s="4" t="s">
        <v>85</v>
      </c>
      <c r="F8" s="4" t="s">
        <v>86</v>
      </c>
      <c r="G8" s="4" t="s">
        <v>58</v>
      </c>
    </row>
    <row r="9" spans="1:7" x14ac:dyDescent="0.25">
      <c r="A9" s="4" t="s">
        <v>87</v>
      </c>
      <c r="B9" s="4" t="s">
        <v>88</v>
      </c>
      <c r="C9" s="4" t="s">
        <v>89</v>
      </c>
      <c r="D9" s="4" t="s">
        <v>70</v>
      </c>
      <c r="E9" s="4" t="s">
        <v>90</v>
      </c>
      <c r="F9" s="4" t="s">
        <v>91</v>
      </c>
      <c r="G9" s="4" t="s">
        <v>58</v>
      </c>
    </row>
    <row r="10" spans="1:7" ht="25.5" x14ac:dyDescent="0.25">
      <c r="A10" s="4" t="s">
        <v>92</v>
      </c>
      <c r="B10" s="4" t="s">
        <v>88</v>
      </c>
      <c r="C10" s="4" t="s">
        <v>93</v>
      </c>
      <c r="D10" s="4" t="s">
        <v>94</v>
      </c>
      <c r="E10" s="4" t="s">
        <v>95</v>
      </c>
      <c r="F10" s="4" t="s">
        <v>96</v>
      </c>
      <c r="G10" s="4" t="s">
        <v>58</v>
      </c>
    </row>
    <row r="11" spans="1:7" ht="25.5" x14ac:dyDescent="0.25">
      <c r="A11" s="4" t="s">
        <v>97</v>
      </c>
      <c r="B11" s="4" t="s">
        <v>88</v>
      </c>
      <c r="C11" s="4" t="s">
        <v>98</v>
      </c>
      <c r="D11" s="4" t="s">
        <v>94</v>
      </c>
      <c r="E11" s="4" t="s">
        <v>99</v>
      </c>
      <c r="F11" s="4" t="s">
        <v>100</v>
      </c>
      <c r="G11" s="4" t="s">
        <v>58</v>
      </c>
    </row>
    <row r="12" spans="1:7" ht="38.25" x14ac:dyDescent="0.25">
      <c r="A12" s="4" t="s">
        <v>101</v>
      </c>
      <c r="B12" s="4" t="s">
        <v>88</v>
      </c>
      <c r="C12" s="4" t="s">
        <v>102</v>
      </c>
      <c r="D12" s="4" t="s">
        <v>94</v>
      </c>
      <c r="E12" s="4" t="s">
        <v>103</v>
      </c>
      <c r="F12" s="4" t="s">
        <v>104</v>
      </c>
      <c r="G12" s="4" t="s">
        <v>58</v>
      </c>
    </row>
    <row r="13" spans="1:7" ht="25.5" x14ac:dyDescent="0.25">
      <c r="A13" s="4" t="s">
        <v>105</v>
      </c>
      <c r="B13" s="4" t="s">
        <v>88</v>
      </c>
      <c r="C13" s="4" t="s">
        <v>106</v>
      </c>
      <c r="D13" s="4" t="s">
        <v>107</v>
      </c>
      <c r="E13" s="4" t="s">
        <v>108</v>
      </c>
      <c r="F13" s="4" t="s">
        <v>109</v>
      </c>
      <c r="G13" s="4" t="s">
        <v>110</v>
      </c>
    </row>
    <row r="14" spans="1:7" x14ac:dyDescent="0.25">
      <c r="A14" s="4" t="s">
        <v>111</v>
      </c>
      <c r="B14" s="4" t="s">
        <v>88</v>
      </c>
      <c r="C14" s="4" t="s">
        <v>112</v>
      </c>
      <c r="D14" s="4" t="s">
        <v>94</v>
      </c>
      <c r="E14" s="4" t="s">
        <v>113</v>
      </c>
      <c r="F14" s="4" t="s">
        <v>114</v>
      </c>
      <c r="G14" s="4" t="s">
        <v>110</v>
      </c>
    </row>
    <row r="15" spans="1:7" ht="25.5" x14ac:dyDescent="0.25">
      <c r="A15" s="4" t="s">
        <v>115</v>
      </c>
      <c r="B15" s="4" t="s">
        <v>88</v>
      </c>
      <c r="C15" s="4" t="s">
        <v>116</v>
      </c>
      <c r="D15" s="4" t="s">
        <v>94</v>
      </c>
      <c r="E15" s="4" t="s">
        <v>117</v>
      </c>
      <c r="F15" s="4" t="s">
        <v>118</v>
      </c>
      <c r="G15" s="4" t="s">
        <v>110</v>
      </c>
    </row>
    <row r="16" spans="1:7" x14ac:dyDescent="0.25">
      <c r="A16" s="4" t="s">
        <v>119</v>
      </c>
      <c r="B16" s="4" t="s">
        <v>120</v>
      </c>
      <c r="C16" s="4" t="s">
        <v>121</v>
      </c>
      <c r="D16" s="4" t="s">
        <v>61</v>
      </c>
      <c r="E16" s="4" t="s">
        <v>122</v>
      </c>
      <c r="F16" s="4" t="s">
        <v>123</v>
      </c>
      <c r="G16" s="4" t="s">
        <v>110</v>
      </c>
    </row>
    <row r="17" spans="1:7" x14ac:dyDescent="0.25">
      <c r="A17" s="4" t="s">
        <v>124</v>
      </c>
      <c r="B17" s="4" t="s">
        <v>120</v>
      </c>
      <c r="C17" s="4" t="s">
        <v>125</v>
      </c>
      <c r="D17" s="4" t="s">
        <v>61</v>
      </c>
      <c r="E17" s="4" t="s">
        <v>126</v>
      </c>
      <c r="F17" s="4" t="s">
        <v>127</v>
      </c>
      <c r="G17" s="4" t="s">
        <v>58</v>
      </c>
    </row>
    <row r="18" spans="1:7" ht="25.5" x14ac:dyDescent="0.25">
      <c r="A18" s="4" t="s">
        <v>128</v>
      </c>
      <c r="B18" s="4" t="s">
        <v>129</v>
      </c>
      <c r="C18" s="4" t="s">
        <v>130</v>
      </c>
      <c r="D18" s="4" t="s">
        <v>61</v>
      </c>
      <c r="E18" s="4" t="s">
        <v>131</v>
      </c>
      <c r="F18" s="4" t="s">
        <v>132</v>
      </c>
      <c r="G18" s="4" t="s">
        <v>58</v>
      </c>
    </row>
    <row r="19" spans="1:7" ht="25.5" x14ac:dyDescent="0.25">
      <c r="A19" s="4" t="s">
        <v>133</v>
      </c>
      <c r="B19" s="4" t="s">
        <v>129</v>
      </c>
      <c r="C19" s="4" t="s">
        <v>134</v>
      </c>
      <c r="D19" s="4" t="s">
        <v>135</v>
      </c>
      <c r="E19" s="4" t="s">
        <v>136</v>
      </c>
      <c r="F19" s="4" t="s">
        <v>137</v>
      </c>
      <c r="G19" s="4" t="s">
        <v>58</v>
      </c>
    </row>
    <row r="20" spans="1:7" ht="25.5" x14ac:dyDescent="0.25">
      <c r="A20" s="4" t="s">
        <v>138</v>
      </c>
      <c r="B20" s="4" t="s">
        <v>129</v>
      </c>
      <c r="C20" s="4" t="s">
        <v>139</v>
      </c>
      <c r="D20" s="4" t="s">
        <v>135</v>
      </c>
      <c r="E20" s="4" t="s">
        <v>140</v>
      </c>
      <c r="F20" s="4" t="s">
        <v>141</v>
      </c>
      <c r="G20" s="4" t="s">
        <v>58</v>
      </c>
    </row>
    <row r="21" spans="1:7" ht="25.5" x14ac:dyDescent="0.25">
      <c r="A21" s="4" t="s">
        <v>142</v>
      </c>
      <c r="B21" s="4" t="s">
        <v>143</v>
      </c>
      <c r="C21" s="4" t="s">
        <v>144</v>
      </c>
      <c r="D21" s="4" t="s">
        <v>61</v>
      </c>
      <c r="E21" s="4" t="s">
        <v>145</v>
      </c>
      <c r="F21" s="4" t="s">
        <v>146</v>
      </c>
      <c r="G21" s="4" t="s">
        <v>58</v>
      </c>
    </row>
    <row r="22" spans="1:7" ht="25.5" x14ac:dyDescent="0.25">
      <c r="A22" s="4" t="s">
        <v>147</v>
      </c>
      <c r="B22" s="4" t="s">
        <v>143</v>
      </c>
      <c r="C22" s="4" t="s">
        <v>148</v>
      </c>
      <c r="D22" s="4" t="s">
        <v>149</v>
      </c>
      <c r="E22" s="4" t="s">
        <v>150</v>
      </c>
      <c r="F22" s="4" t="s">
        <v>151</v>
      </c>
      <c r="G22" s="4" t="s">
        <v>58</v>
      </c>
    </row>
    <row r="23" spans="1:7" x14ac:dyDescent="0.25">
      <c r="A23" s="4" t="s">
        <v>152</v>
      </c>
      <c r="B23" s="4" t="s">
        <v>143</v>
      </c>
      <c r="C23" s="4" t="s">
        <v>153</v>
      </c>
      <c r="D23" s="4" t="s">
        <v>149</v>
      </c>
      <c r="E23" s="4" t="s">
        <v>154</v>
      </c>
      <c r="F23" s="4" t="s">
        <v>155</v>
      </c>
      <c r="G23" s="4" t="s">
        <v>58</v>
      </c>
    </row>
    <row r="24" spans="1:7" ht="25.5" x14ac:dyDescent="0.25">
      <c r="A24" s="4" t="s">
        <v>156</v>
      </c>
      <c r="B24" s="4" t="s">
        <v>143</v>
      </c>
      <c r="C24" s="4" t="s">
        <v>157</v>
      </c>
      <c r="D24" s="4" t="s">
        <v>158</v>
      </c>
      <c r="E24" s="4" t="s">
        <v>159</v>
      </c>
      <c r="F24" s="4" t="s">
        <v>160</v>
      </c>
      <c r="G24" s="4" t="s">
        <v>110</v>
      </c>
    </row>
    <row r="25" spans="1:7" ht="25.5" x14ac:dyDescent="0.25">
      <c r="A25" s="4" t="s">
        <v>161</v>
      </c>
      <c r="B25" s="4" t="s">
        <v>162</v>
      </c>
      <c r="C25" s="4" t="s">
        <v>163</v>
      </c>
      <c r="D25" s="4" t="s">
        <v>164</v>
      </c>
      <c r="E25" s="4" t="s">
        <v>165</v>
      </c>
      <c r="F25" s="4" t="s">
        <v>166</v>
      </c>
      <c r="G25" s="4" t="s">
        <v>58</v>
      </c>
    </row>
    <row r="26" spans="1:7" x14ac:dyDescent="0.25">
      <c r="A26" s="4" t="s">
        <v>167</v>
      </c>
      <c r="B26" s="4" t="s">
        <v>168</v>
      </c>
      <c r="C26" s="4" t="s">
        <v>169</v>
      </c>
      <c r="D26" s="4" t="s">
        <v>70</v>
      </c>
      <c r="E26" s="4" t="s">
        <v>170</v>
      </c>
      <c r="F26" s="4" t="s">
        <v>171</v>
      </c>
      <c r="G26" s="4" t="s">
        <v>58</v>
      </c>
    </row>
    <row r="27" spans="1:7" ht="25.5" x14ac:dyDescent="0.25">
      <c r="A27" s="4" t="s">
        <v>172</v>
      </c>
      <c r="B27" s="4" t="s">
        <v>168</v>
      </c>
      <c r="C27" s="4" t="s">
        <v>173</v>
      </c>
      <c r="D27" s="4" t="s">
        <v>174</v>
      </c>
      <c r="E27" s="4" t="s">
        <v>175</v>
      </c>
      <c r="F27" s="4" t="s">
        <v>176</v>
      </c>
      <c r="G27" s="4" t="s">
        <v>58</v>
      </c>
    </row>
    <row r="28" spans="1:7" ht="38.25" x14ac:dyDescent="0.25">
      <c r="A28" s="4" t="s">
        <v>177</v>
      </c>
      <c r="B28" s="4" t="s">
        <v>168</v>
      </c>
      <c r="C28" s="4" t="s">
        <v>178</v>
      </c>
      <c r="D28" s="4" t="s">
        <v>179</v>
      </c>
      <c r="E28" s="4" t="s">
        <v>180</v>
      </c>
      <c r="F28" s="4" t="s">
        <v>181</v>
      </c>
      <c r="G28" s="4" t="s">
        <v>58</v>
      </c>
    </row>
    <row r="29" spans="1:7" ht="25.5" x14ac:dyDescent="0.25">
      <c r="A29" s="4" t="s">
        <v>182</v>
      </c>
      <c r="B29" s="4" t="s">
        <v>168</v>
      </c>
      <c r="C29" s="4" t="s">
        <v>183</v>
      </c>
      <c r="D29" s="4" t="s">
        <v>184</v>
      </c>
      <c r="E29" s="4" t="s">
        <v>185</v>
      </c>
      <c r="F29" s="4" t="s">
        <v>186</v>
      </c>
      <c r="G29" s="4" t="s">
        <v>58</v>
      </c>
    </row>
    <row r="30" spans="1:7" ht="25.5" x14ac:dyDescent="0.25">
      <c r="A30" s="4" t="s">
        <v>187</v>
      </c>
      <c r="B30" s="4" t="s">
        <v>168</v>
      </c>
      <c r="C30" s="4" t="s">
        <v>188</v>
      </c>
      <c r="D30" s="4" t="s">
        <v>189</v>
      </c>
      <c r="E30" s="4" t="s">
        <v>190</v>
      </c>
      <c r="F30" s="4" t="s">
        <v>191</v>
      </c>
      <c r="G30" s="4" t="s">
        <v>58</v>
      </c>
    </row>
    <row r="31" spans="1:7" ht="38.25" x14ac:dyDescent="0.25">
      <c r="A31" s="4" t="s">
        <v>192</v>
      </c>
      <c r="B31" s="4" t="s">
        <v>168</v>
      </c>
      <c r="C31" s="4" t="s">
        <v>193</v>
      </c>
      <c r="D31" s="4" t="s">
        <v>194</v>
      </c>
      <c r="E31" s="4" t="s">
        <v>195</v>
      </c>
      <c r="F31" s="4" t="s">
        <v>196</v>
      </c>
      <c r="G31" s="4" t="s">
        <v>58</v>
      </c>
    </row>
    <row r="32" spans="1:7" ht="25.5" x14ac:dyDescent="0.25">
      <c r="A32" s="4" t="s">
        <v>197</v>
      </c>
      <c r="B32" s="4" t="s">
        <v>168</v>
      </c>
      <c r="C32" s="4" t="s">
        <v>198</v>
      </c>
      <c r="D32" s="4" t="s">
        <v>184</v>
      </c>
      <c r="E32" s="4" t="s">
        <v>199</v>
      </c>
      <c r="F32" s="4" t="s">
        <v>200</v>
      </c>
      <c r="G32" s="4" t="s">
        <v>58</v>
      </c>
    </row>
    <row r="33" spans="1:7" ht="25.5" x14ac:dyDescent="0.25">
      <c r="A33" s="4" t="s">
        <v>201</v>
      </c>
      <c r="B33" s="4" t="s">
        <v>168</v>
      </c>
      <c r="C33" s="4" t="s">
        <v>202</v>
      </c>
      <c r="D33" s="4" t="s">
        <v>203</v>
      </c>
      <c r="E33" s="4" t="s">
        <v>204</v>
      </c>
      <c r="F33" s="4" t="s">
        <v>205</v>
      </c>
      <c r="G33" s="4" t="s">
        <v>58</v>
      </c>
    </row>
    <row r="34" spans="1:7" ht="25.5" x14ac:dyDescent="0.25">
      <c r="A34" s="4" t="s">
        <v>206</v>
      </c>
      <c r="B34" s="4" t="s">
        <v>168</v>
      </c>
      <c r="C34" s="4" t="s">
        <v>207</v>
      </c>
      <c r="D34" s="4" t="s">
        <v>189</v>
      </c>
      <c r="E34" s="4" t="s">
        <v>208</v>
      </c>
      <c r="F34" s="4" t="s">
        <v>209</v>
      </c>
      <c r="G34" s="4" t="s">
        <v>58</v>
      </c>
    </row>
    <row r="35" spans="1:7" ht="25.5" x14ac:dyDescent="0.25">
      <c r="A35" s="4" t="s">
        <v>210</v>
      </c>
      <c r="B35" s="4" t="s">
        <v>168</v>
      </c>
      <c r="C35" s="4" t="s">
        <v>211</v>
      </c>
      <c r="D35" s="4" t="s">
        <v>212</v>
      </c>
      <c r="E35" s="4" t="s">
        <v>213</v>
      </c>
      <c r="F35" s="4" t="s">
        <v>214</v>
      </c>
      <c r="G35" s="4" t="s">
        <v>110</v>
      </c>
    </row>
    <row r="36" spans="1:7" ht="25.5" x14ac:dyDescent="0.25">
      <c r="A36" s="4" t="s">
        <v>215</v>
      </c>
      <c r="B36" s="4" t="s">
        <v>168</v>
      </c>
      <c r="C36" s="4" t="s">
        <v>216</v>
      </c>
      <c r="D36" s="4" t="s">
        <v>184</v>
      </c>
      <c r="E36" s="4" t="s">
        <v>217</v>
      </c>
      <c r="F36" s="4" t="s">
        <v>218</v>
      </c>
      <c r="G36" s="4" t="s">
        <v>58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7"/>
  <sheetViews>
    <sheetView zoomScale="90" zoomScaleNormal="90" workbookViewId="0">
      <pane xSplit="3" ySplit="1" topLeftCell="H2" activePane="bottomRight" state="frozen"/>
      <selection pane="topRight" activeCell="D1" sqref="D1"/>
      <selection pane="bottomLeft" activeCell="A2" sqref="A2"/>
      <selection pane="bottomRight" activeCell="K4" sqref="K4"/>
    </sheetView>
  </sheetViews>
  <sheetFormatPr defaultColWidth="8.7109375" defaultRowHeight="18.75" x14ac:dyDescent="0.3"/>
  <cols>
    <col min="1" max="1" width="7.5703125" customWidth="1"/>
    <col min="2" max="2" width="44.140625" style="18" customWidth="1"/>
    <col min="3" max="3" width="10" customWidth="1"/>
    <col min="4" max="4" width="10.7109375" bestFit="1" customWidth="1"/>
    <col min="5" max="5" width="13" customWidth="1"/>
    <col min="6" max="6" width="12.5703125" bestFit="1" customWidth="1"/>
    <col min="7" max="7" width="11.5703125" bestFit="1" customWidth="1"/>
    <col min="8" max="8" width="6" bestFit="1" customWidth="1"/>
    <col min="9" max="9" width="8.5703125" bestFit="1" customWidth="1"/>
    <col min="10" max="10" width="7.7109375" bestFit="1" customWidth="1"/>
    <col min="11" max="11" width="9.7109375" bestFit="1" customWidth="1"/>
    <col min="12" max="12" width="10.140625" customWidth="1"/>
    <col min="13" max="13" width="9.7109375" bestFit="1" customWidth="1"/>
    <col min="14" max="14" width="11.42578125" bestFit="1" customWidth="1"/>
    <col min="15" max="15" width="11.140625" bestFit="1" customWidth="1"/>
    <col min="16" max="16" width="11.42578125" bestFit="1" customWidth="1"/>
    <col min="17" max="17" width="7.42578125" customWidth="1"/>
    <col min="18" max="18" width="11.42578125" bestFit="1" customWidth="1"/>
    <col min="19" max="19" width="8.28515625" bestFit="1" customWidth="1"/>
    <col min="20" max="20" width="9.7109375" bestFit="1" customWidth="1"/>
    <col min="21" max="21" width="12" bestFit="1" customWidth="1"/>
    <col min="22" max="22" width="11.42578125" bestFit="1" customWidth="1"/>
    <col min="23" max="23" width="9.140625" bestFit="1" customWidth="1"/>
    <col min="24" max="24" width="11.42578125" bestFit="1" customWidth="1"/>
    <col min="25" max="25" width="13" customWidth="1"/>
    <col min="26" max="26" width="8.85546875" bestFit="1" customWidth="1"/>
    <col min="27" max="27" width="6.85546875" bestFit="1" customWidth="1"/>
    <col min="28" max="28" width="9.140625" bestFit="1" customWidth="1"/>
  </cols>
  <sheetData>
    <row r="1" spans="1:28" ht="38.25" x14ac:dyDescent="0.25">
      <c r="A1" s="3" t="s">
        <v>45</v>
      </c>
      <c r="B1" s="16" t="s">
        <v>47</v>
      </c>
      <c r="C1" s="3" t="s">
        <v>219</v>
      </c>
      <c r="D1" s="3" t="s">
        <v>18</v>
      </c>
      <c r="E1" s="3" t="s">
        <v>19</v>
      </c>
      <c r="F1" s="3" t="s">
        <v>20</v>
      </c>
      <c r="G1" s="3" t="s">
        <v>21</v>
      </c>
      <c r="H1" s="3" t="s">
        <v>22</v>
      </c>
      <c r="I1" s="3" t="s">
        <v>23</v>
      </c>
      <c r="J1" s="3" t="s">
        <v>24</v>
      </c>
      <c r="K1" s="3" t="s">
        <v>25</v>
      </c>
      <c r="L1" s="3" t="s">
        <v>26</v>
      </c>
      <c r="M1" s="3" t="s">
        <v>27</v>
      </c>
      <c r="N1" s="3" t="s">
        <v>28</v>
      </c>
      <c r="O1" s="3" t="s">
        <v>29</v>
      </c>
      <c r="P1" s="3" t="s">
        <v>30</v>
      </c>
      <c r="Q1" s="3" t="s">
        <v>31</v>
      </c>
      <c r="R1" s="3" t="s">
        <v>32</v>
      </c>
      <c r="S1" s="3" t="s">
        <v>33</v>
      </c>
      <c r="T1" s="3" t="s">
        <v>34</v>
      </c>
      <c r="U1" s="3" t="s">
        <v>35</v>
      </c>
      <c r="V1" s="3" t="s">
        <v>36</v>
      </c>
      <c r="W1" s="3" t="s">
        <v>37</v>
      </c>
      <c r="X1" s="3" t="s">
        <v>38</v>
      </c>
      <c r="Y1" s="3" t="s">
        <v>39</v>
      </c>
      <c r="Z1" s="3" t="s">
        <v>40</v>
      </c>
      <c r="AA1" s="3" t="s">
        <v>41</v>
      </c>
      <c r="AB1" s="3" t="s">
        <v>42</v>
      </c>
    </row>
    <row r="2" spans="1:28" ht="18" x14ac:dyDescent="0.25">
      <c r="A2" s="4" t="s">
        <v>52</v>
      </c>
      <c r="B2" s="17" t="s">
        <v>54</v>
      </c>
      <c r="C2" s="5">
        <f t="shared" ref="C2:C37" si="0">COUNTIF(D2:AB2,"Fail")</f>
        <v>1</v>
      </c>
      <c r="D2" s="5" t="s">
        <v>642</v>
      </c>
      <c r="E2" s="5" t="s">
        <v>642</v>
      </c>
      <c r="F2" s="5" t="s">
        <v>642</v>
      </c>
      <c r="G2" s="5" t="s">
        <v>642</v>
      </c>
      <c r="H2" s="5" t="s">
        <v>642</v>
      </c>
      <c r="I2" s="5" t="s">
        <v>642</v>
      </c>
      <c r="J2" s="5" t="s">
        <v>642</v>
      </c>
      <c r="K2" s="5" t="s">
        <v>647</v>
      </c>
      <c r="L2" s="5" t="s">
        <v>642</v>
      </c>
      <c r="M2" s="8" t="s">
        <v>642</v>
      </c>
      <c r="N2" s="8" t="s">
        <v>642</v>
      </c>
      <c r="O2" s="8" t="s">
        <v>642</v>
      </c>
      <c r="P2" s="8" t="s">
        <v>642</v>
      </c>
      <c r="Q2" s="8" t="s">
        <v>642</v>
      </c>
      <c r="R2" s="5" t="s">
        <v>642</v>
      </c>
      <c r="S2" s="5"/>
      <c r="T2" s="5"/>
      <c r="U2" s="5"/>
      <c r="V2" s="5"/>
      <c r="W2" s="5"/>
      <c r="X2" s="5"/>
      <c r="Y2" s="5"/>
      <c r="Z2" s="5"/>
      <c r="AA2" s="5"/>
      <c r="AB2" s="5"/>
    </row>
    <row r="3" spans="1:28" ht="18" x14ac:dyDescent="0.25">
      <c r="A3" s="4" t="s">
        <v>59</v>
      </c>
      <c r="B3" s="17" t="s">
        <v>60</v>
      </c>
      <c r="C3" s="5">
        <f t="shared" si="0"/>
        <v>6</v>
      </c>
      <c r="D3" s="5" t="s">
        <v>14</v>
      </c>
      <c r="E3" s="5" t="s">
        <v>647</v>
      </c>
      <c r="F3" s="5" t="s">
        <v>647</v>
      </c>
      <c r="G3" s="5" t="s">
        <v>642</v>
      </c>
      <c r="H3" s="5" t="s">
        <v>642</v>
      </c>
      <c r="I3" s="5" t="s">
        <v>642</v>
      </c>
      <c r="J3" s="5" t="s">
        <v>642</v>
      </c>
      <c r="K3" s="5" t="s">
        <v>647</v>
      </c>
      <c r="L3" s="5" t="s">
        <v>13</v>
      </c>
      <c r="M3" s="8" t="s">
        <v>647</v>
      </c>
      <c r="N3" s="8" t="s">
        <v>642</v>
      </c>
      <c r="O3" s="8" t="s">
        <v>642</v>
      </c>
      <c r="P3" s="8" t="s">
        <v>642</v>
      </c>
      <c r="Q3" s="8" t="s">
        <v>642</v>
      </c>
      <c r="R3" s="5" t="s">
        <v>647</v>
      </c>
      <c r="S3" s="5"/>
      <c r="T3" s="5"/>
      <c r="U3" s="5"/>
      <c r="V3" s="5"/>
      <c r="W3" s="5"/>
      <c r="X3" s="5"/>
      <c r="Y3" s="5"/>
      <c r="Z3" s="5"/>
      <c r="AA3" s="5"/>
      <c r="AB3" s="5"/>
    </row>
    <row r="4" spans="1:28" ht="18" x14ac:dyDescent="0.25">
      <c r="A4" s="4" t="s">
        <v>64</v>
      </c>
      <c r="B4" s="17" t="s">
        <v>65</v>
      </c>
      <c r="C4" s="5">
        <f t="shared" si="0"/>
        <v>6</v>
      </c>
      <c r="D4" s="5" t="s">
        <v>14</v>
      </c>
      <c r="E4" s="5" t="s">
        <v>647</v>
      </c>
      <c r="F4" s="5" t="s">
        <v>647</v>
      </c>
      <c r="G4" s="5" t="s">
        <v>642</v>
      </c>
      <c r="H4" s="5" t="s">
        <v>642</v>
      </c>
      <c r="I4" s="5" t="s">
        <v>642</v>
      </c>
      <c r="J4" s="5" t="s">
        <v>647</v>
      </c>
      <c r="K4" s="5" t="s">
        <v>647</v>
      </c>
      <c r="L4" s="5" t="s">
        <v>13</v>
      </c>
      <c r="M4" s="8" t="s">
        <v>642</v>
      </c>
      <c r="N4" s="8" t="s">
        <v>642</v>
      </c>
      <c r="O4" s="8" t="s">
        <v>647</v>
      </c>
      <c r="P4" s="8" t="s">
        <v>642</v>
      </c>
      <c r="Q4" s="8" t="s">
        <v>642</v>
      </c>
      <c r="R4" s="5"/>
      <c r="S4" s="5"/>
      <c r="T4" s="5"/>
      <c r="U4" s="5"/>
      <c r="V4" s="5"/>
      <c r="W4" s="5"/>
      <c r="X4" s="5"/>
      <c r="Y4" s="5"/>
      <c r="Z4" s="5"/>
      <c r="AA4" s="5"/>
      <c r="AB4" s="5"/>
    </row>
    <row r="5" spans="1:28" ht="18" x14ac:dyDescent="0.25">
      <c r="A5" s="4" t="s">
        <v>68</v>
      </c>
      <c r="B5" s="17" t="s">
        <v>69</v>
      </c>
      <c r="C5" s="5">
        <f t="shared" si="0"/>
        <v>0</v>
      </c>
      <c r="D5" s="5" t="s">
        <v>642</v>
      </c>
      <c r="E5" s="5" t="s">
        <v>642</v>
      </c>
      <c r="F5" s="5" t="s">
        <v>642</v>
      </c>
      <c r="G5" s="5" t="s">
        <v>642</v>
      </c>
      <c r="H5" s="5" t="s">
        <v>642</v>
      </c>
      <c r="I5" s="5" t="s">
        <v>642</v>
      </c>
      <c r="J5" s="5" t="s">
        <v>642</v>
      </c>
      <c r="K5" s="5" t="s">
        <v>642</v>
      </c>
      <c r="L5" s="5" t="s">
        <v>642</v>
      </c>
      <c r="M5" s="8" t="s">
        <v>642</v>
      </c>
      <c r="N5" s="8" t="s">
        <v>642</v>
      </c>
      <c r="O5" s="8" t="s">
        <v>642</v>
      </c>
      <c r="P5" s="8" t="s">
        <v>642</v>
      </c>
      <c r="Q5" s="8" t="s">
        <v>642</v>
      </c>
      <c r="R5" s="5"/>
      <c r="S5" s="5"/>
      <c r="T5" s="5"/>
      <c r="U5" s="5"/>
      <c r="V5" s="5"/>
      <c r="W5" s="5"/>
      <c r="X5" s="5"/>
      <c r="Y5" s="5"/>
      <c r="Z5" s="5"/>
      <c r="AA5" s="5"/>
      <c r="AB5" s="5"/>
    </row>
    <row r="6" spans="1:28" ht="18" x14ac:dyDescent="0.25">
      <c r="A6" s="4" t="s">
        <v>73</v>
      </c>
      <c r="B6" s="17" t="s">
        <v>74</v>
      </c>
      <c r="C6" s="5">
        <f t="shared" si="0"/>
        <v>0</v>
      </c>
      <c r="D6" s="5" t="s">
        <v>642</v>
      </c>
      <c r="E6" s="5" t="s">
        <v>13</v>
      </c>
      <c r="F6" s="5" t="s">
        <v>642</v>
      </c>
      <c r="G6" s="5" t="s">
        <v>642</v>
      </c>
      <c r="H6" s="5" t="s">
        <v>642</v>
      </c>
      <c r="I6" s="5" t="s">
        <v>642</v>
      </c>
      <c r="J6" s="5" t="s">
        <v>642</v>
      </c>
      <c r="K6" s="5" t="s">
        <v>642</v>
      </c>
      <c r="L6" s="5" t="s">
        <v>642</v>
      </c>
      <c r="M6" s="8" t="s">
        <v>642</v>
      </c>
      <c r="N6" s="8" t="s">
        <v>642</v>
      </c>
      <c r="O6" s="8" t="s">
        <v>642</v>
      </c>
      <c r="P6" s="8" t="s">
        <v>642</v>
      </c>
      <c r="Q6" s="8" t="s">
        <v>642</v>
      </c>
      <c r="R6" s="5"/>
      <c r="S6" s="5"/>
      <c r="T6" s="5"/>
      <c r="U6" s="5"/>
      <c r="V6" s="5"/>
      <c r="W6" s="5"/>
      <c r="X6" s="5"/>
      <c r="Y6" s="5"/>
      <c r="Z6" s="5"/>
      <c r="AA6" s="5"/>
      <c r="AB6" s="5"/>
    </row>
    <row r="7" spans="1:28" ht="18" x14ac:dyDescent="0.25">
      <c r="A7" s="4" t="s">
        <v>77</v>
      </c>
      <c r="B7" s="17" t="s">
        <v>78</v>
      </c>
      <c r="C7" s="5">
        <f t="shared" si="0"/>
        <v>2</v>
      </c>
      <c r="D7" s="5" t="s">
        <v>647</v>
      </c>
      <c r="E7" s="5" t="s">
        <v>642</v>
      </c>
      <c r="F7" s="5" t="s">
        <v>642</v>
      </c>
      <c r="G7" s="5" t="s">
        <v>664</v>
      </c>
      <c r="H7" s="5" t="s">
        <v>642</v>
      </c>
      <c r="I7" s="5" t="s">
        <v>642</v>
      </c>
      <c r="J7" s="5" t="s">
        <v>642</v>
      </c>
      <c r="K7" s="5" t="s">
        <v>664</v>
      </c>
      <c r="L7" s="5" t="s">
        <v>16</v>
      </c>
      <c r="M7" s="8" t="s">
        <v>647</v>
      </c>
      <c r="N7" s="19" t="s">
        <v>664</v>
      </c>
      <c r="O7" s="8" t="s">
        <v>664</v>
      </c>
      <c r="P7" s="8" t="s">
        <v>664</v>
      </c>
      <c r="Q7" s="8" t="s">
        <v>642</v>
      </c>
      <c r="R7" s="5"/>
      <c r="S7" s="5"/>
      <c r="T7" s="5"/>
      <c r="U7" s="5"/>
      <c r="V7" s="5"/>
      <c r="W7" s="5"/>
      <c r="X7" s="5"/>
      <c r="Y7" s="5"/>
      <c r="Z7" s="5"/>
      <c r="AA7" s="5"/>
      <c r="AB7" s="5"/>
    </row>
    <row r="8" spans="1:28" ht="18" x14ac:dyDescent="0.25">
      <c r="A8" s="4" t="s">
        <v>82</v>
      </c>
      <c r="B8" s="17" t="s">
        <v>83</v>
      </c>
      <c r="C8" s="5">
        <f t="shared" si="0"/>
        <v>0</v>
      </c>
      <c r="D8" s="5" t="s">
        <v>16</v>
      </c>
      <c r="E8" s="5" t="s">
        <v>642</v>
      </c>
      <c r="F8" s="5" t="s">
        <v>642</v>
      </c>
      <c r="G8" s="5" t="s">
        <v>664</v>
      </c>
      <c r="H8" s="5" t="s">
        <v>642</v>
      </c>
      <c r="I8" s="5" t="s">
        <v>16</v>
      </c>
      <c r="J8" s="5" t="s">
        <v>642</v>
      </c>
      <c r="K8" s="5" t="s">
        <v>664</v>
      </c>
      <c r="L8" s="5" t="s">
        <v>16</v>
      </c>
      <c r="M8" s="8" t="s">
        <v>664</v>
      </c>
      <c r="N8" s="8" t="s">
        <v>664</v>
      </c>
      <c r="O8" s="8" t="s">
        <v>664</v>
      </c>
      <c r="P8" s="8" t="s">
        <v>664</v>
      </c>
      <c r="Q8" s="5" t="s">
        <v>642</v>
      </c>
      <c r="R8" s="5"/>
      <c r="S8" s="5"/>
      <c r="T8" s="5"/>
      <c r="U8" s="5"/>
      <c r="V8" s="5"/>
      <c r="W8" s="5"/>
      <c r="X8" s="5"/>
      <c r="Y8" s="5"/>
      <c r="Z8" s="5"/>
      <c r="AA8" s="5"/>
      <c r="AB8" s="5"/>
    </row>
    <row r="9" spans="1:28" ht="18" x14ac:dyDescent="0.25">
      <c r="A9" s="4" t="s">
        <v>87</v>
      </c>
      <c r="B9" s="17" t="s">
        <v>89</v>
      </c>
      <c r="C9" s="5">
        <f t="shared" si="0"/>
        <v>0</v>
      </c>
      <c r="D9" s="5" t="s">
        <v>642</v>
      </c>
      <c r="E9" s="5" t="s">
        <v>642</v>
      </c>
      <c r="F9" s="5" t="s">
        <v>642</v>
      </c>
      <c r="G9" s="5" t="s">
        <v>642</v>
      </c>
      <c r="H9" s="5" t="s">
        <v>642</v>
      </c>
      <c r="I9" s="5" t="s">
        <v>642</v>
      </c>
      <c r="J9" s="5" t="s">
        <v>642</v>
      </c>
      <c r="K9" s="5" t="s">
        <v>642</v>
      </c>
      <c r="L9" s="5" t="s">
        <v>642</v>
      </c>
      <c r="M9" s="8" t="s">
        <v>642</v>
      </c>
      <c r="N9" s="8" t="s">
        <v>642</v>
      </c>
      <c r="O9" s="8" t="s">
        <v>642</v>
      </c>
      <c r="P9" s="8" t="s">
        <v>642</v>
      </c>
      <c r="Q9" s="5" t="s">
        <v>642</v>
      </c>
      <c r="R9" s="5"/>
      <c r="S9" s="5"/>
      <c r="T9" s="5"/>
      <c r="U9" s="5"/>
      <c r="V9" s="5"/>
      <c r="W9" s="5"/>
      <c r="X9" s="5"/>
      <c r="Y9" s="5"/>
      <c r="Z9" s="5"/>
      <c r="AA9" s="5"/>
      <c r="AB9" s="5"/>
    </row>
    <row r="10" spans="1:28" ht="18" x14ac:dyDescent="0.25">
      <c r="A10" s="4" t="s">
        <v>92</v>
      </c>
      <c r="B10" s="17" t="s">
        <v>93</v>
      </c>
      <c r="C10" s="5">
        <f t="shared" si="0"/>
        <v>1</v>
      </c>
      <c r="D10" s="5" t="s">
        <v>642</v>
      </c>
      <c r="E10" s="5" t="s">
        <v>642</v>
      </c>
      <c r="F10" s="5" t="s">
        <v>642</v>
      </c>
      <c r="G10" s="5" t="s">
        <v>642</v>
      </c>
      <c r="H10" s="5" t="s">
        <v>642</v>
      </c>
      <c r="I10" s="5" t="s">
        <v>642</v>
      </c>
      <c r="J10" s="5" t="s">
        <v>642</v>
      </c>
      <c r="K10" s="5" t="s">
        <v>13</v>
      </c>
      <c r="L10" s="5" t="s">
        <v>14</v>
      </c>
      <c r="M10" s="8" t="s">
        <v>642</v>
      </c>
      <c r="N10" s="8" t="s">
        <v>642</v>
      </c>
      <c r="O10" s="8" t="s">
        <v>642</v>
      </c>
      <c r="P10" s="8" t="s">
        <v>642</v>
      </c>
      <c r="Q10" s="5" t="s">
        <v>642</v>
      </c>
      <c r="R10" s="5"/>
      <c r="S10" s="5"/>
      <c r="T10" s="5"/>
      <c r="U10" s="5"/>
      <c r="V10" s="5"/>
      <c r="W10" s="5"/>
      <c r="X10" s="5"/>
      <c r="Y10" s="5"/>
      <c r="Z10" s="5"/>
      <c r="AA10" s="5"/>
      <c r="AB10" s="5"/>
    </row>
    <row r="11" spans="1:28" ht="18" x14ac:dyDescent="0.25">
      <c r="A11" s="4" t="s">
        <v>97</v>
      </c>
      <c r="B11" s="17" t="s">
        <v>98</v>
      </c>
      <c r="C11" s="5">
        <f t="shared" si="0"/>
        <v>4</v>
      </c>
      <c r="D11" s="5" t="s">
        <v>642</v>
      </c>
      <c r="E11" s="5" t="s">
        <v>642</v>
      </c>
      <c r="F11" s="5" t="s">
        <v>647</v>
      </c>
      <c r="G11" s="5" t="s">
        <v>642</v>
      </c>
      <c r="H11" s="5" t="s">
        <v>642</v>
      </c>
      <c r="I11" s="5" t="s">
        <v>642</v>
      </c>
      <c r="J11" s="5" t="s">
        <v>642</v>
      </c>
      <c r="K11" s="5" t="s">
        <v>642</v>
      </c>
      <c r="L11" s="5" t="s">
        <v>642</v>
      </c>
      <c r="M11" s="8" t="s">
        <v>647</v>
      </c>
      <c r="N11" s="8" t="s">
        <v>642</v>
      </c>
      <c r="O11" s="8" t="s">
        <v>642</v>
      </c>
      <c r="P11" s="8" t="s">
        <v>647</v>
      </c>
      <c r="Q11" s="5" t="s">
        <v>647</v>
      </c>
      <c r="R11" s="5"/>
      <c r="S11" s="5"/>
      <c r="T11" s="5"/>
      <c r="U11" s="5"/>
      <c r="V11" s="5"/>
      <c r="W11" s="5"/>
      <c r="X11" s="5"/>
      <c r="Y11" s="5"/>
      <c r="Z11" s="5"/>
      <c r="AA11" s="5"/>
      <c r="AB11" s="5"/>
    </row>
    <row r="12" spans="1:28" ht="18" x14ac:dyDescent="0.25">
      <c r="A12" s="4" t="s">
        <v>101</v>
      </c>
      <c r="B12" s="17" t="s">
        <v>102</v>
      </c>
      <c r="C12" s="5">
        <f t="shared" si="0"/>
        <v>1</v>
      </c>
      <c r="D12" s="5" t="s">
        <v>642</v>
      </c>
      <c r="E12" s="5" t="s">
        <v>642</v>
      </c>
      <c r="F12" s="5" t="s">
        <v>642</v>
      </c>
      <c r="G12" s="5" t="s">
        <v>642</v>
      </c>
      <c r="H12" s="5" t="s">
        <v>642</v>
      </c>
      <c r="I12" s="5" t="s">
        <v>642</v>
      </c>
      <c r="J12" s="5" t="s">
        <v>642</v>
      </c>
      <c r="K12" s="5" t="s">
        <v>642</v>
      </c>
      <c r="L12" s="5" t="s">
        <v>647</v>
      </c>
      <c r="M12" s="8" t="s">
        <v>642</v>
      </c>
      <c r="N12" s="8" t="s">
        <v>642</v>
      </c>
      <c r="O12" s="8" t="s">
        <v>642</v>
      </c>
      <c r="P12" s="8" t="s">
        <v>642</v>
      </c>
      <c r="Q12" s="5" t="s">
        <v>642</v>
      </c>
      <c r="R12" s="5"/>
      <c r="S12" s="5"/>
      <c r="T12" s="5"/>
      <c r="U12" s="5"/>
      <c r="V12" s="5"/>
      <c r="W12" s="5"/>
      <c r="X12" s="5"/>
      <c r="Y12" s="5"/>
      <c r="Z12" s="5"/>
      <c r="AA12" s="5"/>
      <c r="AB12" s="5"/>
    </row>
    <row r="13" spans="1:28" ht="18" x14ac:dyDescent="0.25">
      <c r="A13" s="4" t="s">
        <v>105</v>
      </c>
      <c r="B13" s="17" t="s">
        <v>106</v>
      </c>
      <c r="C13" s="5">
        <f t="shared" si="0"/>
        <v>7</v>
      </c>
      <c r="D13" s="5" t="s">
        <v>647</v>
      </c>
      <c r="E13" s="5" t="s">
        <v>642</v>
      </c>
      <c r="F13" s="5" t="s">
        <v>647</v>
      </c>
      <c r="G13" s="5" t="s">
        <v>642</v>
      </c>
      <c r="H13" s="5" t="s">
        <v>642</v>
      </c>
      <c r="I13" s="5" t="s">
        <v>642</v>
      </c>
      <c r="J13" s="5" t="s">
        <v>647</v>
      </c>
      <c r="K13" s="5" t="s">
        <v>647</v>
      </c>
      <c r="L13" s="5" t="s">
        <v>647</v>
      </c>
      <c r="M13" s="8" t="s">
        <v>642</v>
      </c>
      <c r="N13" s="8" t="s">
        <v>642</v>
      </c>
      <c r="O13" s="8" t="s">
        <v>647</v>
      </c>
      <c r="P13" s="5" t="s">
        <v>642</v>
      </c>
      <c r="Q13" s="5" t="s">
        <v>647</v>
      </c>
      <c r="R13" s="5"/>
      <c r="S13" s="5"/>
      <c r="T13" s="5"/>
      <c r="U13" s="5"/>
      <c r="V13" s="5"/>
      <c r="W13" s="5"/>
      <c r="X13" s="5"/>
      <c r="Y13" s="5"/>
      <c r="Z13" s="5"/>
      <c r="AA13" s="5"/>
      <c r="AB13" s="5"/>
    </row>
    <row r="14" spans="1:28" ht="18" x14ac:dyDescent="0.25">
      <c r="A14" s="4" t="s">
        <v>111</v>
      </c>
      <c r="B14" s="17" t="s">
        <v>112</v>
      </c>
      <c r="C14" s="5">
        <f t="shared" si="0"/>
        <v>2</v>
      </c>
      <c r="D14" s="5" t="s">
        <v>642</v>
      </c>
      <c r="E14" s="5" t="s">
        <v>16</v>
      </c>
      <c r="F14" s="5" t="s">
        <v>647</v>
      </c>
      <c r="G14" s="5" t="s">
        <v>664</v>
      </c>
      <c r="H14" s="5" t="s">
        <v>664</v>
      </c>
      <c r="I14" s="5" t="s">
        <v>642</v>
      </c>
      <c r="J14" s="5" t="s">
        <v>664</v>
      </c>
      <c r="K14" s="5" t="s">
        <v>664</v>
      </c>
      <c r="L14" s="5" t="s">
        <v>642</v>
      </c>
      <c r="M14" s="8" t="s">
        <v>664</v>
      </c>
      <c r="N14" s="8" t="s">
        <v>642</v>
      </c>
      <c r="O14" s="8" t="s">
        <v>642</v>
      </c>
      <c r="P14" s="8" t="s">
        <v>664</v>
      </c>
      <c r="Q14" s="5" t="s">
        <v>647</v>
      </c>
      <c r="R14" s="5"/>
      <c r="S14" s="5"/>
      <c r="T14" s="5"/>
      <c r="U14" s="5"/>
      <c r="V14" s="5"/>
      <c r="W14" s="5"/>
      <c r="X14" s="5"/>
      <c r="Y14" s="5"/>
      <c r="Z14" s="5"/>
      <c r="AA14" s="5"/>
      <c r="AB14" s="5"/>
    </row>
    <row r="15" spans="1:28" ht="18" x14ac:dyDescent="0.25">
      <c r="A15" s="4" t="s">
        <v>115</v>
      </c>
      <c r="B15" s="17" t="s">
        <v>116</v>
      </c>
      <c r="C15" s="5">
        <f t="shared" si="0"/>
        <v>0</v>
      </c>
      <c r="D15" s="5" t="s">
        <v>16</v>
      </c>
      <c r="E15" s="5" t="s">
        <v>16</v>
      </c>
      <c r="F15" s="5" t="s">
        <v>664</v>
      </c>
      <c r="G15" s="5" t="s">
        <v>664</v>
      </c>
      <c r="H15" s="5" t="s">
        <v>664</v>
      </c>
      <c r="I15" s="5" t="s">
        <v>16</v>
      </c>
      <c r="J15" s="5" t="s">
        <v>664</v>
      </c>
      <c r="K15" s="5" t="s">
        <v>664</v>
      </c>
      <c r="L15" s="5" t="s">
        <v>642</v>
      </c>
      <c r="M15" s="8" t="s">
        <v>664</v>
      </c>
      <c r="N15" s="8" t="s">
        <v>664</v>
      </c>
      <c r="O15" s="8" t="s">
        <v>664</v>
      </c>
      <c r="P15" s="8" t="s">
        <v>664</v>
      </c>
      <c r="Q15" s="5" t="s">
        <v>664</v>
      </c>
      <c r="R15" s="5"/>
      <c r="S15" s="5"/>
      <c r="T15" s="5"/>
      <c r="U15" s="5"/>
      <c r="V15" s="5"/>
      <c r="W15" s="5"/>
      <c r="X15" s="5"/>
      <c r="Y15" s="5"/>
      <c r="Z15" s="5"/>
      <c r="AA15" s="5"/>
      <c r="AB15" s="5"/>
    </row>
    <row r="16" spans="1:28" ht="18" x14ac:dyDescent="0.25">
      <c r="A16" s="4" t="s">
        <v>119</v>
      </c>
      <c r="B16" s="17" t="s">
        <v>121</v>
      </c>
      <c r="C16" s="5">
        <f t="shared" si="0"/>
        <v>0</v>
      </c>
      <c r="D16" s="5" t="s">
        <v>642</v>
      </c>
      <c r="E16" s="5" t="s">
        <v>642</v>
      </c>
      <c r="F16" s="5" t="s">
        <v>642</v>
      </c>
      <c r="G16" s="5" t="s">
        <v>642</v>
      </c>
      <c r="H16" s="5" t="s">
        <v>642</v>
      </c>
      <c r="I16" s="5" t="s">
        <v>642</v>
      </c>
      <c r="J16" s="5" t="s">
        <v>642</v>
      </c>
      <c r="K16" s="5" t="s">
        <v>642</v>
      </c>
      <c r="L16" s="5" t="s">
        <v>642</v>
      </c>
      <c r="M16" s="8" t="s">
        <v>642</v>
      </c>
      <c r="N16" s="8" t="s">
        <v>642</v>
      </c>
      <c r="O16" s="8" t="s">
        <v>642</v>
      </c>
      <c r="P16" s="8" t="s">
        <v>642</v>
      </c>
      <c r="Q16" s="5" t="s">
        <v>642</v>
      </c>
      <c r="R16" s="5"/>
      <c r="S16" s="5"/>
      <c r="T16" s="5"/>
      <c r="U16" s="5"/>
      <c r="V16" s="5"/>
      <c r="W16" s="5"/>
      <c r="X16" s="5"/>
      <c r="Y16" s="5"/>
      <c r="Z16" s="5"/>
      <c r="AA16" s="5"/>
      <c r="AB16" s="5"/>
    </row>
    <row r="17" spans="1:28" ht="18" x14ac:dyDescent="0.25">
      <c r="A17" s="4" t="s">
        <v>124</v>
      </c>
      <c r="B17" s="17" t="s">
        <v>125</v>
      </c>
      <c r="C17" s="5">
        <f t="shared" si="0"/>
        <v>0</v>
      </c>
      <c r="D17" s="5" t="s">
        <v>642</v>
      </c>
      <c r="E17" s="5" t="s">
        <v>642</v>
      </c>
      <c r="F17" s="5" t="s">
        <v>642</v>
      </c>
      <c r="G17" s="5" t="s">
        <v>642</v>
      </c>
      <c r="H17" s="5" t="s">
        <v>642</v>
      </c>
      <c r="I17" s="5" t="s">
        <v>642</v>
      </c>
      <c r="J17" s="5" t="s">
        <v>642</v>
      </c>
      <c r="K17" s="5" t="s">
        <v>13</v>
      </c>
      <c r="L17" s="5" t="s">
        <v>642</v>
      </c>
      <c r="M17" s="8" t="s">
        <v>642</v>
      </c>
      <c r="N17" s="8" t="s">
        <v>642</v>
      </c>
      <c r="O17" s="8" t="s">
        <v>642</v>
      </c>
      <c r="P17" s="8" t="s">
        <v>642</v>
      </c>
      <c r="Q17" s="5" t="s">
        <v>642</v>
      </c>
      <c r="R17" s="5"/>
      <c r="S17" s="5"/>
      <c r="T17" s="5"/>
      <c r="U17" s="5"/>
      <c r="V17" s="5"/>
      <c r="W17" s="5"/>
      <c r="X17" s="5"/>
      <c r="Y17" s="5"/>
      <c r="Z17" s="5"/>
      <c r="AA17" s="5"/>
      <c r="AB17" s="5"/>
    </row>
    <row r="18" spans="1:28" ht="18" x14ac:dyDescent="0.25">
      <c r="A18" s="4" t="s">
        <v>128</v>
      </c>
      <c r="B18" s="17" t="s">
        <v>130</v>
      </c>
      <c r="C18" s="5">
        <f t="shared" si="0"/>
        <v>0</v>
      </c>
      <c r="D18" s="5" t="s">
        <v>642</v>
      </c>
      <c r="E18" s="5" t="s">
        <v>642</v>
      </c>
      <c r="F18" s="5" t="s">
        <v>642</v>
      </c>
      <c r="G18" s="5" t="s">
        <v>642</v>
      </c>
      <c r="H18" s="5" t="s">
        <v>642</v>
      </c>
      <c r="I18" s="5" t="s">
        <v>642</v>
      </c>
      <c r="J18" s="5" t="s">
        <v>642</v>
      </c>
      <c r="K18" s="5" t="s">
        <v>642</v>
      </c>
      <c r="L18" s="5" t="s">
        <v>642</v>
      </c>
      <c r="M18" s="8" t="s">
        <v>642</v>
      </c>
      <c r="N18" s="8" t="s">
        <v>642</v>
      </c>
      <c r="O18" s="8" t="s">
        <v>642</v>
      </c>
      <c r="P18" s="8" t="s">
        <v>642</v>
      </c>
      <c r="Q18" s="5" t="s">
        <v>642</v>
      </c>
      <c r="R18" s="5"/>
      <c r="S18" s="5"/>
      <c r="T18" s="5"/>
      <c r="U18" s="5"/>
      <c r="V18" s="5"/>
      <c r="W18" s="5"/>
      <c r="X18" s="5"/>
      <c r="Y18" s="5"/>
      <c r="Z18" s="5"/>
      <c r="AA18" s="5"/>
      <c r="AB18" s="5"/>
    </row>
    <row r="19" spans="1:28" ht="18" x14ac:dyDescent="0.25">
      <c r="A19" s="4" t="s">
        <v>133</v>
      </c>
      <c r="B19" s="17" t="s">
        <v>134</v>
      </c>
      <c r="C19" s="5">
        <f t="shared" si="0"/>
        <v>1</v>
      </c>
      <c r="D19" s="5" t="s">
        <v>642</v>
      </c>
      <c r="E19" s="5" t="s">
        <v>642</v>
      </c>
      <c r="F19" s="5" t="s">
        <v>642</v>
      </c>
      <c r="G19" s="5" t="s">
        <v>642</v>
      </c>
      <c r="H19" s="5" t="s">
        <v>642</v>
      </c>
      <c r="I19" s="5" t="s">
        <v>642</v>
      </c>
      <c r="J19" s="5" t="s">
        <v>642</v>
      </c>
      <c r="K19" s="5" t="s">
        <v>642</v>
      </c>
      <c r="L19" s="5" t="s">
        <v>647</v>
      </c>
      <c r="M19" s="8" t="s">
        <v>642</v>
      </c>
      <c r="N19" s="8" t="s">
        <v>642</v>
      </c>
      <c r="O19" s="8" t="s">
        <v>642</v>
      </c>
      <c r="P19" s="8" t="s">
        <v>642</v>
      </c>
      <c r="Q19" s="5" t="s">
        <v>642</v>
      </c>
      <c r="R19" s="5"/>
      <c r="S19" s="5"/>
      <c r="T19" s="5"/>
      <c r="U19" s="5"/>
      <c r="V19" s="5"/>
      <c r="W19" s="5"/>
      <c r="X19" s="5"/>
      <c r="Y19" s="5"/>
      <c r="Z19" s="5"/>
      <c r="AA19" s="5"/>
      <c r="AB19" s="5"/>
    </row>
    <row r="20" spans="1:28" ht="18" x14ac:dyDescent="0.25">
      <c r="A20" s="4" t="s">
        <v>138</v>
      </c>
      <c r="B20" s="17" t="s">
        <v>139</v>
      </c>
      <c r="C20" s="5">
        <f t="shared" si="0"/>
        <v>0</v>
      </c>
      <c r="D20" s="5" t="s">
        <v>642</v>
      </c>
      <c r="E20" s="5" t="s">
        <v>642</v>
      </c>
      <c r="F20" s="5" t="s">
        <v>642</v>
      </c>
      <c r="G20" s="5" t="s">
        <v>642</v>
      </c>
      <c r="H20" s="5" t="s">
        <v>642</v>
      </c>
      <c r="I20" s="5" t="s">
        <v>642</v>
      </c>
      <c r="J20" s="5" t="s">
        <v>642</v>
      </c>
      <c r="K20" s="5" t="s">
        <v>642</v>
      </c>
      <c r="L20" s="5" t="s">
        <v>642</v>
      </c>
      <c r="M20" s="8" t="s">
        <v>642</v>
      </c>
      <c r="N20" s="8" t="s">
        <v>642</v>
      </c>
      <c r="O20" s="8" t="s">
        <v>642</v>
      </c>
      <c r="P20" s="8" t="s">
        <v>642</v>
      </c>
      <c r="Q20" s="5" t="s">
        <v>642</v>
      </c>
      <c r="R20" s="5"/>
      <c r="S20" s="5"/>
      <c r="T20" s="5"/>
      <c r="U20" s="5"/>
      <c r="V20" s="5"/>
      <c r="W20" s="5"/>
      <c r="X20" s="5"/>
      <c r="Y20" s="5"/>
      <c r="Z20" s="5"/>
      <c r="AA20" s="5"/>
      <c r="AB20" s="5"/>
    </row>
    <row r="21" spans="1:28" ht="18" x14ac:dyDescent="0.25">
      <c r="A21" s="4" t="s">
        <v>142</v>
      </c>
      <c r="B21" s="17" t="s">
        <v>144</v>
      </c>
      <c r="C21" s="5">
        <f t="shared" si="0"/>
        <v>0</v>
      </c>
      <c r="D21" s="5" t="s">
        <v>642</v>
      </c>
      <c r="E21" s="5" t="s">
        <v>642</v>
      </c>
      <c r="F21" s="5" t="s">
        <v>642</v>
      </c>
      <c r="G21" s="5" t="s">
        <v>642</v>
      </c>
      <c r="H21" s="5" t="s">
        <v>642</v>
      </c>
      <c r="I21" s="5" t="s">
        <v>642</v>
      </c>
      <c r="J21" s="5" t="s">
        <v>642</v>
      </c>
      <c r="K21" s="5" t="s">
        <v>642</v>
      </c>
      <c r="L21" s="5" t="s">
        <v>642</v>
      </c>
      <c r="M21" s="8" t="s">
        <v>642</v>
      </c>
      <c r="N21" s="8" t="s">
        <v>642</v>
      </c>
      <c r="O21" s="8" t="s">
        <v>642</v>
      </c>
      <c r="P21" s="8" t="s">
        <v>642</v>
      </c>
      <c r="Q21" s="5" t="s">
        <v>642</v>
      </c>
      <c r="R21" s="5"/>
      <c r="S21" s="5"/>
      <c r="T21" s="5"/>
      <c r="U21" s="5"/>
      <c r="V21" s="5"/>
      <c r="W21" s="5"/>
      <c r="X21" s="5"/>
      <c r="Y21" s="5"/>
      <c r="Z21" s="5"/>
      <c r="AA21" s="5"/>
      <c r="AB21" s="5"/>
    </row>
    <row r="22" spans="1:28" ht="18" x14ac:dyDescent="0.25">
      <c r="A22" s="4" t="s">
        <v>147</v>
      </c>
      <c r="B22" s="17" t="s">
        <v>148</v>
      </c>
      <c r="C22" s="5">
        <f t="shared" si="0"/>
        <v>0</v>
      </c>
      <c r="D22" s="5" t="s">
        <v>642</v>
      </c>
      <c r="E22" s="5" t="s">
        <v>642</v>
      </c>
      <c r="F22" s="5" t="s">
        <v>642</v>
      </c>
      <c r="G22" s="5" t="s">
        <v>642</v>
      </c>
      <c r="H22" s="5" t="s">
        <v>642</v>
      </c>
      <c r="I22" s="5" t="s">
        <v>642</v>
      </c>
      <c r="J22" s="5" t="s">
        <v>642</v>
      </c>
      <c r="K22" s="5" t="s">
        <v>642</v>
      </c>
      <c r="L22" s="5" t="s">
        <v>642</v>
      </c>
      <c r="M22" s="8" t="s">
        <v>642</v>
      </c>
      <c r="N22" s="8" t="s">
        <v>642</v>
      </c>
      <c r="O22" s="8" t="s">
        <v>642</v>
      </c>
      <c r="P22" s="8" t="s">
        <v>642</v>
      </c>
      <c r="Q22" s="5" t="s">
        <v>642</v>
      </c>
      <c r="R22" s="5"/>
      <c r="S22" s="5"/>
      <c r="T22" s="5"/>
      <c r="U22" s="5"/>
      <c r="V22" s="5"/>
      <c r="W22" s="5"/>
      <c r="X22" s="5"/>
      <c r="Y22" s="5"/>
      <c r="Z22" s="5"/>
      <c r="AA22" s="5"/>
      <c r="AB22" s="5"/>
    </row>
    <row r="23" spans="1:28" ht="18" x14ac:dyDescent="0.25">
      <c r="A23" s="4" t="s">
        <v>152</v>
      </c>
      <c r="B23" s="17" t="s">
        <v>153</v>
      </c>
      <c r="C23" s="5">
        <f t="shared" si="0"/>
        <v>0</v>
      </c>
      <c r="D23" s="5" t="s">
        <v>642</v>
      </c>
      <c r="E23" s="5" t="s">
        <v>642</v>
      </c>
      <c r="F23" s="5" t="s">
        <v>642</v>
      </c>
      <c r="G23" s="5" t="s">
        <v>642</v>
      </c>
      <c r="H23" s="5" t="s">
        <v>642</v>
      </c>
      <c r="I23" s="5" t="s">
        <v>642</v>
      </c>
      <c r="J23" s="5" t="s">
        <v>642</v>
      </c>
      <c r="K23" s="5" t="s">
        <v>642</v>
      </c>
      <c r="L23" s="5" t="s">
        <v>642</v>
      </c>
      <c r="M23" s="8" t="s">
        <v>642</v>
      </c>
      <c r="N23" s="8" t="s">
        <v>642</v>
      </c>
      <c r="O23" s="8" t="s">
        <v>642</v>
      </c>
      <c r="P23" s="8" t="s">
        <v>642</v>
      </c>
      <c r="Q23" s="5" t="s">
        <v>642</v>
      </c>
      <c r="R23" s="5"/>
      <c r="S23" s="5"/>
      <c r="T23" s="5"/>
      <c r="U23" s="5"/>
      <c r="V23" s="5"/>
      <c r="W23" s="5"/>
      <c r="X23" s="5"/>
      <c r="Y23" s="5"/>
      <c r="Z23" s="5"/>
      <c r="AA23" s="5"/>
      <c r="AB23" s="5"/>
    </row>
    <row r="24" spans="1:28" ht="36" x14ac:dyDescent="0.25">
      <c r="A24" s="4" t="s">
        <v>156</v>
      </c>
      <c r="B24" s="17" t="s">
        <v>157</v>
      </c>
      <c r="C24" s="5">
        <f t="shared" si="0"/>
        <v>0</v>
      </c>
      <c r="D24" s="5" t="s">
        <v>16</v>
      </c>
      <c r="E24" s="5" t="s">
        <v>16</v>
      </c>
      <c r="F24" s="5" t="s">
        <v>642</v>
      </c>
      <c r="G24" s="5" t="s">
        <v>664</v>
      </c>
      <c r="H24" s="5" t="s">
        <v>664</v>
      </c>
      <c r="I24" s="5" t="s">
        <v>642</v>
      </c>
      <c r="J24" s="5" t="s">
        <v>664</v>
      </c>
      <c r="K24" s="5" t="s">
        <v>664</v>
      </c>
      <c r="L24" s="8" t="s">
        <v>16</v>
      </c>
      <c r="M24" s="8" t="s">
        <v>664</v>
      </c>
      <c r="N24" s="8" t="s">
        <v>642</v>
      </c>
      <c r="O24" s="8" t="s">
        <v>664</v>
      </c>
      <c r="P24" s="8" t="s">
        <v>642</v>
      </c>
      <c r="Q24" s="5" t="s">
        <v>664</v>
      </c>
      <c r="R24" s="5"/>
      <c r="S24" s="5"/>
      <c r="T24" s="5"/>
      <c r="U24" s="5"/>
      <c r="V24" s="5"/>
      <c r="W24" s="5"/>
      <c r="X24" s="5"/>
      <c r="Y24" s="5"/>
      <c r="Z24" s="5"/>
      <c r="AA24" s="5"/>
      <c r="AB24" s="5"/>
    </row>
    <row r="25" spans="1:28" ht="18" x14ac:dyDescent="0.25">
      <c r="A25" s="4" t="s">
        <v>161</v>
      </c>
      <c r="B25" s="17" t="s">
        <v>163</v>
      </c>
      <c r="C25" s="5">
        <f t="shared" si="0"/>
        <v>2</v>
      </c>
      <c r="D25" s="5" t="s">
        <v>16</v>
      </c>
      <c r="E25" s="5" t="s">
        <v>642</v>
      </c>
      <c r="F25" s="5" t="s">
        <v>642</v>
      </c>
      <c r="G25" s="5" t="s">
        <v>642</v>
      </c>
      <c r="H25" s="5" t="s">
        <v>647</v>
      </c>
      <c r="I25" s="5" t="s">
        <v>642</v>
      </c>
      <c r="J25" s="5" t="s">
        <v>647</v>
      </c>
      <c r="K25" s="5" t="s">
        <v>642</v>
      </c>
      <c r="L25" s="5" t="s">
        <v>642</v>
      </c>
      <c r="M25" s="5"/>
      <c r="N25" s="8" t="s">
        <v>642</v>
      </c>
      <c r="O25" s="8" t="s">
        <v>664</v>
      </c>
      <c r="P25" s="8" t="s">
        <v>664</v>
      </c>
      <c r="Q25" s="5" t="s">
        <v>664</v>
      </c>
      <c r="R25" s="5"/>
      <c r="S25" s="5"/>
      <c r="T25" s="5"/>
      <c r="U25" s="5"/>
      <c r="V25" s="5"/>
      <c r="W25" s="5"/>
      <c r="X25" s="5"/>
      <c r="Y25" s="5"/>
      <c r="Z25" s="5"/>
      <c r="AA25" s="5"/>
      <c r="AB25" s="5"/>
    </row>
    <row r="26" spans="1:28" s="22" customFormat="1" ht="18" x14ac:dyDescent="0.25">
      <c r="A26" s="23"/>
      <c r="B26" s="24"/>
      <c r="C26" s="25"/>
      <c r="D26" s="25"/>
      <c r="E26" s="25"/>
      <c r="F26" s="25"/>
      <c r="G26" s="25"/>
      <c r="H26" s="25"/>
      <c r="I26" s="25"/>
      <c r="J26" s="25"/>
      <c r="K26" s="25"/>
      <c r="L26" s="25"/>
      <c r="M26" s="25"/>
      <c r="N26" s="26"/>
      <c r="O26" s="26"/>
      <c r="P26" s="26"/>
      <c r="Q26" s="25"/>
      <c r="R26" s="25"/>
      <c r="S26" s="25"/>
      <c r="T26" s="25"/>
      <c r="U26" s="25"/>
      <c r="V26" s="25"/>
      <c r="W26" s="25"/>
      <c r="X26" s="25"/>
      <c r="Y26" s="25"/>
      <c r="Z26" s="25"/>
      <c r="AA26" s="25"/>
      <c r="AB26" s="25"/>
    </row>
    <row r="27" spans="1:28" ht="18" x14ac:dyDescent="0.25">
      <c r="A27" s="4" t="s">
        <v>167</v>
      </c>
      <c r="B27" s="21" t="s">
        <v>169</v>
      </c>
      <c r="C27" s="5">
        <f t="shared" si="0"/>
        <v>9</v>
      </c>
      <c r="D27" s="5" t="s">
        <v>647</v>
      </c>
      <c r="E27" s="5" t="s">
        <v>14</v>
      </c>
      <c r="F27" s="5" t="s">
        <v>647</v>
      </c>
      <c r="G27" s="5" t="s">
        <v>642</v>
      </c>
      <c r="H27" s="5" t="s">
        <v>642</v>
      </c>
      <c r="I27" s="5" t="s">
        <v>647</v>
      </c>
      <c r="J27" s="5" t="s">
        <v>647</v>
      </c>
      <c r="K27" s="5" t="s">
        <v>642</v>
      </c>
      <c r="L27" s="5" t="s">
        <v>642</v>
      </c>
      <c r="M27" s="8" t="s">
        <v>642</v>
      </c>
      <c r="N27" s="8" t="s">
        <v>647</v>
      </c>
      <c r="O27" s="8" t="s">
        <v>647</v>
      </c>
      <c r="P27" s="8" t="s">
        <v>647</v>
      </c>
      <c r="Q27" s="5" t="s">
        <v>647</v>
      </c>
      <c r="R27" s="5"/>
      <c r="S27" s="5"/>
      <c r="T27" s="5"/>
      <c r="U27" s="5"/>
      <c r="V27" s="5"/>
      <c r="W27" s="5"/>
      <c r="X27" s="5"/>
      <c r="Y27" s="5"/>
      <c r="Z27" s="5"/>
      <c r="AA27" s="5"/>
      <c r="AB27" s="5"/>
    </row>
    <row r="28" spans="1:28" ht="18" x14ac:dyDescent="0.25">
      <c r="A28" s="4" t="s">
        <v>172</v>
      </c>
      <c r="B28" s="21" t="s">
        <v>173</v>
      </c>
      <c r="C28" s="5">
        <f t="shared" si="0"/>
        <v>3</v>
      </c>
      <c r="D28" s="5" t="s">
        <v>642</v>
      </c>
      <c r="E28" s="5" t="s">
        <v>13</v>
      </c>
      <c r="F28" s="5" t="s">
        <v>642</v>
      </c>
      <c r="G28" s="5" t="s">
        <v>642</v>
      </c>
      <c r="H28" s="5" t="s">
        <v>642</v>
      </c>
      <c r="I28" s="5" t="s">
        <v>647</v>
      </c>
      <c r="J28" s="5" t="s">
        <v>642</v>
      </c>
      <c r="K28" s="5" t="s">
        <v>642</v>
      </c>
      <c r="L28" s="5" t="s">
        <v>647</v>
      </c>
      <c r="M28" s="8" t="s">
        <v>642</v>
      </c>
      <c r="N28" s="8" t="s">
        <v>647</v>
      </c>
      <c r="O28" s="8" t="s">
        <v>642</v>
      </c>
      <c r="P28" s="8" t="s">
        <v>642</v>
      </c>
      <c r="Q28" s="5" t="s">
        <v>642</v>
      </c>
      <c r="R28" s="5"/>
      <c r="S28" s="5"/>
      <c r="T28" s="5"/>
      <c r="U28" s="5"/>
      <c r="V28" s="5"/>
      <c r="W28" s="5"/>
      <c r="X28" s="5"/>
      <c r="Y28" s="5"/>
      <c r="Z28" s="5"/>
      <c r="AA28" s="5"/>
      <c r="AB28" s="5"/>
    </row>
    <row r="29" spans="1:28" ht="36" x14ac:dyDescent="0.25">
      <c r="A29" s="4" t="s">
        <v>177</v>
      </c>
      <c r="B29" s="21" t="s">
        <v>178</v>
      </c>
      <c r="C29" s="5">
        <f t="shared" si="0"/>
        <v>1</v>
      </c>
      <c r="D29" s="5" t="s">
        <v>642</v>
      </c>
      <c r="E29" s="5" t="s">
        <v>642</v>
      </c>
      <c r="F29" s="5" t="s">
        <v>642</v>
      </c>
      <c r="G29" s="5" t="s">
        <v>642</v>
      </c>
      <c r="H29" s="5" t="s">
        <v>642</v>
      </c>
      <c r="I29" s="5" t="s">
        <v>642</v>
      </c>
      <c r="J29" s="5" t="s">
        <v>642</v>
      </c>
      <c r="K29" s="5" t="s">
        <v>642</v>
      </c>
      <c r="L29" s="5" t="s">
        <v>642</v>
      </c>
      <c r="M29" s="8" t="s">
        <v>642</v>
      </c>
      <c r="N29" s="8" t="s">
        <v>647</v>
      </c>
      <c r="O29" s="8" t="s">
        <v>642</v>
      </c>
      <c r="P29" s="8" t="s">
        <v>642</v>
      </c>
      <c r="Q29" s="5" t="s">
        <v>642</v>
      </c>
      <c r="R29" s="5"/>
      <c r="S29" s="5"/>
      <c r="T29" s="5"/>
      <c r="U29" s="5"/>
      <c r="V29" s="5"/>
      <c r="W29" s="5"/>
      <c r="X29" s="5"/>
      <c r="Y29" s="5"/>
      <c r="Z29" s="5"/>
      <c r="AA29" s="5"/>
      <c r="AB29" s="5"/>
    </row>
    <row r="30" spans="1:28" ht="18" x14ac:dyDescent="0.25">
      <c r="A30" s="4" t="s">
        <v>182</v>
      </c>
      <c r="B30" s="21" t="s">
        <v>183</v>
      </c>
      <c r="C30" s="5">
        <f t="shared" si="0"/>
        <v>2</v>
      </c>
      <c r="D30" s="5" t="s">
        <v>642</v>
      </c>
      <c r="E30" s="5" t="s">
        <v>642</v>
      </c>
      <c r="F30" s="5" t="s">
        <v>642</v>
      </c>
      <c r="G30" s="5" t="s">
        <v>642</v>
      </c>
      <c r="H30" s="5" t="s">
        <v>642</v>
      </c>
      <c r="I30" s="5" t="s">
        <v>647</v>
      </c>
      <c r="J30" s="5" t="s">
        <v>642</v>
      </c>
      <c r="K30" s="5" t="s">
        <v>642</v>
      </c>
      <c r="L30" s="5" t="s">
        <v>642</v>
      </c>
      <c r="M30" s="8" t="s">
        <v>642</v>
      </c>
      <c r="N30" s="20" t="s">
        <v>647</v>
      </c>
      <c r="O30" s="8" t="s">
        <v>642</v>
      </c>
      <c r="P30" s="8" t="s">
        <v>642</v>
      </c>
      <c r="Q30" s="5" t="s">
        <v>642</v>
      </c>
      <c r="R30" s="5"/>
      <c r="S30" s="5"/>
      <c r="T30" s="5"/>
      <c r="U30" s="5"/>
      <c r="V30" s="5"/>
      <c r="W30" s="5"/>
      <c r="X30" s="5"/>
      <c r="Y30" s="5"/>
      <c r="Z30" s="5"/>
      <c r="AA30" s="5"/>
      <c r="AB30" s="5"/>
    </row>
    <row r="31" spans="1:28" ht="36" x14ac:dyDescent="0.25">
      <c r="A31" s="4" t="s">
        <v>187</v>
      </c>
      <c r="B31" s="21" t="s">
        <v>188</v>
      </c>
      <c r="C31" s="5">
        <f t="shared" si="0"/>
        <v>2</v>
      </c>
      <c r="D31" s="5" t="s">
        <v>642</v>
      </c>
      <c r="E31" s="5" t="s">
        <v>642</v>
      </c>
      <c r="F31" s="5" t="s">
        <v>642</v>
      </c>
      <c r="G31" s="5" t="s">
        <v>642</v>
      </c>
      <c r="H31" s="5" t="s">
        <v>642</v>
      </c>
      <c r="I31" s="5" t="s">
        <v>647</v>
      </c>
      <c r="J31" s="5" t="s">
        <v>642</v>
      </c>
      <c r="K31" s="5" t="s">
        <v>642</v>
      </c>
      <c r="L31" s="5" t="s">
        <v>642</v>
      </c>
      <c r="M31" s="8" t="s">
        <v>642</v>
      </c>
      <c r="N31" s="20" t="s">
        <v>647</v>
      </c>
      <c r="O31" s="8" t="s">
        <v>642</v>
      </c>
      <c r="P31" s="8" t="s">
        <v>642</v>
      </c>
      <c r="Q31" s="5" t="s">
        <v>642</v>
      </c>
      <c r="R31" s="5"/>
      <c r="S31" s="5"/>
      <c r="T31" s="5"/>
      <c r="U31" s="5"/>
      <c r="V31" s="5"/>
      <c r="W31" s="5"/>
      <c r="X31" s="5"/>
      <c r="Y31" s="5"/>
      <c r="Z31" s="5"/>
      <c r="AA31" s="5"/>
      <c r="AB31" s="5"/>
    </row>
    <row r="32" spans="1:28" ht="36" x14ac:dyDescent="0.25">
      <c r="A32" s="4" t="s">
        <v>192</v>
      </c>
      <c r="B32" s="21" t="s">
        <v>193</v>
      </c>
      <c r="C32" s="5">
        <f t="shared" si="0"/>
        <v>0</v>
      </c>
      <c r="D32" s="8" t="s">
        <v>642</v>
      </c>
      <c r="E32" s="5" t="s">
        <v>642</v>
      </c>
      <c r="F32" s="5" t="s">
        <v>642</v>
      </c>
      <c r="G32" s="5" t="s">
        <v>642</v>
      </c>
      <c r="H32" s="5" t="s">
        <v>642</v>
      </c>
      <c r="I32" s="5" t="s">
        <v>642</v>
      </c>
      <c r="J32" s="5" t="s">
        <v>642</v>
      </c>
      <c r="K32" s="5" t="s">
        <v>642</v>
      </c>
      <c r="L32" s="5" t="s">
        <v>642</v>
      </c>
      <c r="M32" s="8" t="s">
        <v>642</v>
      </c>
      <c r="N32" s="20" t="s">
        <v>642</v>
      </c>
      <c r="O32" s="8" t="s">
        <v>642</v>
      </c>
      <c r="P32" s="8" t="s">
        <v>642</v>
      </c>
      <c r="Q32" s="5" t="s">
        <v>642</v>
      </c>
      <c r="R32" s="5"/>
      <c r="S32" s="5"/>
      <c r="T32" s="5"/>
      <c r="U32" s="5"/>
      <c r="V32" s="5"/>
      <c r="W32" s="5"/>
      <c r="X32" s="5"/>
      <c r="Y32" s="5"/>
      <c r="Z32" s="5"/>
      <c r="AA32" s="5"/>
      <c r="AB32" s="5"/>
    </row>
    <row r="33" spans="1:28" ht="36" x14ac:dyDescent="0.25">
      <c r="A33" s="4" t="s">
        <v>197</v>
      </c>
      <c r="B33" s="21" t="s">
        <v>198</v>
      </c>
      <c r="C33" s="5">
        <f t="shared" si="0"/>
        <v>4</v>
      </c>
      <c r="D33" s="8" t="s">
        <v>642</v>
      </c>
      <c r="E33" s="5" t="s">
        <v>642</v>
      </c>
      <c r="F33" s="5" t="s">
        <v>642</v>
      </c>
      <c r="G33" s="5" t="s">
        <v>642</v>
      </c>
      <c r="H33" s="5" t="s">
        <v>647</v>
      </c>
      <c r="I33" s="5" t="s">
        <v>647</v>
      </c>
      <c r="J33" s="5" t="s">
        <v>647</v>
      </c>
      <c r="K33" s="5" t="s">
        <v>642</v>
      </c>
      <c r="L33" s="5" t="s">
        <v>642</v>
      </c>
      <c r="M33" s="8" t="s">
        <v>642</v>
      </c>
      <c r="N33" s="20" t="s">
        <v>647</v>
      </c>
      <c r="O33" s="8" t="s">
        <v>642</v>
      </c>
      <c r="P33" s="8" t="s">
        <v>642</v>
      </c>
      <c r="Q33" s="5" t="s">
        <v>642</v>
      </c>
      <c r="R33" s="5"/>
      <c r="S33" s="5"/>
      <c r="T33" s="5"/>
      <c r="U33" s="5"/>
      <c r="V33" s="5"/>
      <c r="W33" s="5"/>
      <c r="X33" s="5"/>
      <c r="Y33" s="5"/>
      <c r="Z33" s="5"/>
      <c r="AA33" s="5"/>
      <c r="AB33" s="5"/>
    </row>
    <row r="34" spans="1:28" ht="18" x14ac:dyDescent="0.25">
      <c r="A34" s="4" t="s">
        <v>201</v>
      </c>
      <c r="B34" s="21" t="s">
        <v>202</v>
      </c>
      <c r="C34" s="5">
        <f t="shared" si="0"/>
        <v>5</v>
      </c>
      <c r="D34" s="8" t="s">
        <v>642</v>
      </c>
      <c r="E34" s="5" t="s">
        <v>647</v>
      </c>
      <c r="F34" s="5" t="s">
        <v>642</v>
      </c>
      <c r="G34" s="5" t="s">
        <v>647</v>
      </c>
      <c r="H34" s="5" t="s">
        <v>642</v>
      </c>
      <c r="I34" s="5" t="s">
        <v>642</v>
      </c>
      <c r="J34" s="5" t="s">
        <v>642</v>
      </c>
      <c r="K34" s="5" t="s">
        <v>642</v>
      </c>
      <c r="L34" s="5" t="s">
        <v>647</v>
      </c>
      <c r="M34" s="8" t="s">
        <v>647</v>
      </c>
      <c r="N34" s="8" t="s">
        <v>642</v>
      </c>
      <c r="O34" s="8" t="s">
        <v>647</v>
      </c>
      <c r="P34" s="8" t="s">
        <v>642</v>
      </c>
      <c r="Q34" s="5" t="s">
        <v>642</v>
      </c>
      <c r="R34" s="5"/>
      <c r="S34" s="5"/>
      <c r="T34" s="5"/>
      <c r="U34" s="5"/>
      <c r="V34" s="5"/>
      <c r="W34" s="5"/>
      <c r="X34" s="5"/>
      <c r="Y34" s="5"/>
      <c r="Z34" s="5"/>
      <c r="AA34" s="5"/>
      <c r="AB34" s="5"/>
    </row>
    <row r="35" spans="1:28" ht="36" x14ac:dyDescent="0.25">
      <c r="A35" s="4" t="s">
        <v>206</v>
      </c>
      <c r="B35" s="21" t="s">
        <v>207</v>
      </c>
      <c r="C35" s="5">
        <f t="shared" si="0"/>
        <v>12</v>
      </c>
      <c r="D35" s="8" t="s">
        <v>647</v>
      </c>
      <c r="E35" s="5" t="s">
        <v>647</v>
      </c>
      <c r="F35" s="5" t="s">
        <v>647</v>
      </c>
      <c r="G35" s="5" t="s">
        <v>647</v>
      </c>
      <c r="H35" s="5" t="s">
        <v>647</v>
      </c>
      <c r="I35" s="5" t="s">
        <v>642</v>
      </c>
      <c r="J35" s="5" t="s">
        <v>647</v>
      </c>
      <c r="K35" s="5" t="s">
        <v>647</v>
      </c>
      <c r="L35" s="5" t="s">
        <v>647</v>
      </c>
      <c r="M35" s="8" t="s">
        <v>647</v>
      </c>
      <c r="N35" s="20" t="s">
        <v>642</v>
      </c>
      <c r="O35" s="8" t="s">
        <v>647</v>
      </c>
      <c r="P35" s="8" t="s">
        <v>647</v>
      </c>
      <c r="Q35" s="5" t="s">
        <v>647</v>
      </c>
      <c r="R35" s="5"/>
      <c r="S35" s="5"/>
      <c r="T35" s="5"/>
      <c r="U35" s="5"/>
      <c r="V35" s="5"/>
      <c r="W35" s="5"/>
      <c r="X35" s="5"/>
      <c r="Y35" s="5"/>
      <c r="Z35" s="5"/>
      <c r="AA35" s="5"/>
      <c r="AB35" s="5"/>
    </row>
    <row r="36" spans="1:28" ht="36" x14ac:dyDescent="0.25">
      <c r="A36" s="4" t="s">
        <v>210</v>
      </c>
      <c r="B36" s="21" t="s">
        <v>211</v>
      </c>
      <c r="C36" s="5">
        <f t="shared" si="0"/>
        <v>0</v>
      </c>
      <c r="D36" s="8" t="s">
        <v>642</v>
      </c>
      <c r="E36" s="5" t="s">
        <v>642</v>
      </c>
      <c r="F36" s="5" t="s">
        <v>642</v>
      </c>
      <c r="G36" s="5" t="s">
        <v>642</v>
      </c>
      <c r="H36" s="5" t="s">
        <v>642</v>
      </c>
      <c r="I36" s="5" t="s">
        <v>642</v>
      </c>
      <c r="J36" s="5" t="s">
        <v>642</v>
      </c>
      <c r="K36" s="5" t="s">
        <v>664</v>
      </c>
      <c r="L36" s="5" t="s">
        <v>642</v>
      </c>
      <c r="M36" s="8" t="s">
        <v>642</v>
      </c>
      <c r="N36" s="5" t="s">
        <v>16</v>
      </c>
      <c r="O36" s="8" t="s">
        <v>642</v>
      </c>
      <c r="P36" s="8" t="s">
        <v>642</v>
      </c>
      <c r="Q36" s="5" t="s">
        <v>642</v>
      </c>
      <c r="R36" s="5"/>
      <c r="S36" s="5"/>
      <c r="T36" s="5"/>
      <c r="U36" s="5"/>
      <c r="V36" s="5"/>
      <c r="W36" s="5"/>
      <c r="X36" s="5"/>
      <c r="Y36" s="5"/>
      <c r="Z36" s="5"/>
      <c r="AA36" s="5"/>
      <c r="AB36" s="5"/>
    </row>
    <row r="37" spans="1:28" ht="36" x14ac:dyDescent="0.25">
      <c r="A37" s="4" t="s">
        <v>215</v>
      </c>
      <c r="B37" s="21" t="s">
        <v>216</v>
      </c>
      <c r="C37" s="5">
        <f t="shared" si="0"/>
        <v>1</v>
      </c>
      <c r="D37" s="8" t="s">
        <v>642</v>
      </c>
      <c r="E37" s="5" t="s">
        <v>642</v>
      </c>
      <c r="F37" s="5" t="s">
        <v>642</v>
      </c>
      <c r="G37" s="5" t="s">
        <v>642</v>
      </c>
      <c r="H37" s="5" t="s">
        <v>642</v>
      </c>
      <c r="I37" s="5" t="s">
        <v>642</v>
      </c>
      <c r="J37" s="5" t="s">
        <v>642</v>
      </c>
      <c r="K37" s="5" t="s">
        <v>642</v>
      </c>
      <c r="L37" s="5" t="s">
        <v>647</v>
      </c>
      <c r="M37" s="8" t="s">
        <v>642</v>
      </c>
      <c r="N37" s="20" t="s">
        <v>642</v>
      </c>
      <c r="O37" s="8" t="s">
        <v>642</v>
      </c>
      <c r="P37" s="8" t="s">
        <v>642</v>
      </c>
      <c r="Q37" s="5" t="s">
        <v>642</v>
      </c>
      <c r="R37" s="5"/>
      <c r="S37" s="5"/>
      <c r="T37" s="5"/>
      <c r="U37" s="5"/>
      <c r="V37" s="5"/>
      <c r="W37" s="5"/>
      <c r="X37" s="5"/>
      <c r="Y37" s="5"/>
      <c r="Z37" s="5"/>
      <c r="AA37" s="5"/>
      <c r="AB37" s="5"/>
    </row>
  </sheetData>
  <conditionalFormatting sqref="C2:C37">
    <cfRule type="cellIs" dxfId="8" priority="6" operator="greaterThan">
      <formula>0</formula>
    </cfRule>
  </conditionalFormatting>
  <conditionalFormatting sqref="D2:AB37">
    <cfRule type="cellIs" dxfId="7" priority="2" operator="equal">
      <formula>"Pass"</formula>
    </cfRule>
    <cfRule type="cellIs" dxfId="6" priority="3" operator="equal">
      <formula>"Fail"</formula>
    </cfRule>
    <cfRule type="cellIs" dxfId="5" priority="4" operator="equal">
      <formula>"Blocked"</formula>
    </cfRule>
    <cfRule type="cellIs" dxfId="4" priority="5" operator="equal">
      <formula>"N/A"</formula>
    </cfRule>
  </conditionalFormatting>
  <dataValidations count="1">
    <dataValidation type="list" allowBlank="1" sqref="D2:AB37" xr:uid="{00000000-0002-0000-0300-000000000000}">
      <formula1>"Pass,Fail,Blocked,N/A"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7"/>
  <sheetViews>
    <sheetView zoomScaleNormal="100" workbookViewId="0">
      <pane ySplit="1" topLeftCell="A2" activePane="bottomLeft" state="frozen"/>
      <selection pane="bottomLeft"/>
    </sheetView>
  </sheetViews>
  <sheetFormatPr defaultColWidth="8.7109375" defaultRowHeight="15" x14ac:dyDescent="0.25"/>
  <cols>
    <col min="1" max="1" width="26" customWidth="1"/>
    <col min="2" max="2" width="11" customWidth="1"/>
    <col min="3" max="3" width="52" customWidth="1"/>
    <col min="4" max="4" width="38" customWidth="1"/>
    <col min="5" max="5" width="42" customWidth="1"/>
  </cols>
  <sheetData>
    <row r="1" spans="1:5" x14ac:dyDescent="0.25">
      <c r="A1" s="3" t="s">
        <v>11</v>
      </c>
      <c r="B1" s="3" t="s">
        <v>220</v>
      </c>
      <c r="C1" s="3" t="s">
        <v>221</v>
      </c>
      <c r="D1" s="3" t="s">
        <v>222</v>
      </c>
      <c r="E1" s="3" t="s">
        <v>223</v>
      </c>
    </row>
    <row r="2" spans="1:5" x14ac:dyDescent="0.25">
      <c r="A2" s="4" t="s">
        <v>18</v>
      </c>
      <c r="B2" s="4" t="s">
        <v>224</v>
      </c>
      <c r="C2" s="4" t="s">
        <v>225</v>
      </c>
      <c r="D2" s="4" t="s">
        <v>226</v>
      </c>
      <c r="E2" s="4" t="s">
        <v>227</v>
      </c>
    </row>
    <row r="3" spans="1:5" x14ac:dyDescent="0.25">
      <c r="A3" s="4" t="s">
        <v>19</v>
      </c>
      <c r="B3" s="4" t="s">
        <v>224</v>
      </c>
      <c r="C3" s="4" t="s">
        <v>228</v>
      </c>
      <c r="D3" s="4" t="s">
        <v>35</v>
      </c>
      <c r="E3" s="4"/>
    </row>
    <row r="4" spans="1:5" ht="25.5" x14ac:dyDescent="0.25">
      <c r="A4" s="4" t="s">
        <v>20</v>
      </c>
      <c r="B4" s="4" t="s">
        <v>224</v>
      </c>
      <c r="C4" s="4" t="s">
        <v>229</v>
      </c>
      <c r="D4" s="4" t="s">
        <v>230</v>
      </c>
      <c r="E4" s="4" t="s">
        <v>231</v>
      </c>
    </row>
    <row r="5" spans="1:5" x14ac:dyDescent="0.25">
      <c r="A5" s="4" t="s">
        <v>21</v>
      </c>
      <c r="B5" s="4" t="s">
        <v>224</v>
      </c>
      <c r="C5" s="4" t="s">
        <v>232</v>
      </c>
      <c r="D5" s="4"/>
      <c r="E5" s="4"/>
    </row>
    <row r="6" spans="1:5" x14ac:dyDescent="0.25">
      <c r="A6" s="4" t="s">
        <v>22</v>
      </c>
      <c r="B6" s="4" t="s">
        <v>224</v>
      </c>
      <c r="C6" s="4" t="s">
        <v>233</v>
      </c>
      <c r="D6" s="4"/>
      <c r="E6" s="4" t="s">
        <v>234</v>
      </c>
    </row>
    <row r="7" spans="1:5" ht="25.5" x14ac:dyDescent="0.25">
      <c r="A7" s="4" t="s">
        <v>23</v>
      </c>
      <c r="B7" s="4" t="s">
        <v>224</v>
      </c>
      <c r="C7" s="4" t="s">
        <v>235</v>
      </c>
      <c r="D7" s="4" t="s">
        <v>236</v>
      </c>
      <c r="E7" s="4" t="s">
        <v>237</v>
      </c>
    </row>
    <row r="8" spans="1:5" x14ac:dyDescent="0.25">
      <c r="A8" s="4" t="s">
        <v>24</v>
      </c>
      <c r="B8" s="4" t="s">
        <v>224</v>
      </c>
      <c r="C8" s="4" t="s">
        <v>238</v>
      </c>
      <c r="D8" s="4" t="s">
        <v>28</v>
      </c>
      <c r="E8" s="4" t="s">
        <v>239</v>
      </c>
    </row>
    <row r="9" spans="1:5" x14ac:dyDescent="0.25">
      <c r="A9" s="4" t="s">
        <v>25</v>
      </c>
      <c r="B9" s="4" t="s">
        <v>224</v>
      </c>
      <c r="C9" s="4" t="s">
        <v>240</v>
      </c>
      <c r="D9" s="4" t="s">
        <v>32</v>
      </c>
      <c r="E9" s="4"/>
    </row>
    <row r="10" spans="1:5" x14ac:dyDescent="0.25">
      <c r="A10" s="4" t="s">
        <v>26</v>
      </c>
      <c r="B10" s="4" t="s">
        <v>241</v>
      </c>
      <c r="C10" s="4" t="s">
        <v>242</v>
      </c>
      <c r="D10" s="4"/>
      <c r="E10" s="4"/>
    </row>
    <row r="11" spans="1:5" x14ac:dyDescent="0.25">
      <c r="A11" s="4" t="s">
        <v>27</v>
      </c>
      <c r="B11" s="4" t="s">
        <v>241</v>
      </c>
      <c r="C11" s="4" t="s">
        <v>243</v>
      </c>
      <c r="D11" s="4"/>
      <c r="E11" s="4"/>
    </row>
    <row r="12" spans="1:5" x14ac:dyDescent="0.25">
      <c r="A12" s="4" t="s">
        <v>28</v>
      </c>
      <c r="B12" s="4" t="s">
        <v>241</v>
      </c>
      <c r="C12" s="4" t="s">
        <v>244</v>
      </c>
      <c r="D12" s="4" t="s">
        <v>24</v>
      </c>
      <c r="E12" s="4" t="s">
        <v>245</v>
      </c>
    </row>
    <row r="13" spans="1:5" x14ac:dyDescent="0.25">
      <c r="A13" s="4" t="s">
        <v>29</v>
      </c>
      <c r="B13" s="4" t="s">
        <v>241</v>
      </c>
      <c r="C13" s="4" t="s">
        <v>246</v>
      </c>
      <c r="D13" s="4" t="s">
        <v>30</v>
      </c>
      <c r="E13" s="4" t="s">
        <v>247</v>
      </c>
    </row>
    <row r="14" spans="1:5" x14ac:dyDescent="0.25">
      <c r="A14" s="4" t="s">
        <v>30</v>
      </c>
      <c r="B14" s="4" t="s">
        <v>241</v>
      </c>
      <c r="C14" s="4" t="s">
        <v>244</v>
      </c>
      <c r="D14" s="4" t="s">
        <v>29</v>
      </c>
      <c r="E14" s="4" t="s">
        <v>245</v>
      </c>
    </row>
    <row r="15" spans="1:5" x14ac:dyDescent="0.25">
      <c r="A15" s="4" t="s">
        <v>31</v>
      </c>
      <c r="B15" s="4" t="s">
        <v>241</v>
      </c>
      <c r="C15" s="4" t="s">
        <v>248</v>
      </c>
      <c r="D15" s="4"/>
      <c r="E15" s="4" t="s">
        <v>249</v>
      </c>
    </row>
    <row r="16" spans="1:5" x14ac:dyDescent="0.25">
      <c r="A16" s="4" t="s">
        <v>32</v>
      </c>
      <c r="B16" s="4" t="s">
        <v>241</v>
      </c>
      <c r="C16" s="4" t="s">
        <v>244</v>
      </c>
      <c r="D16" s="4" t="s">
        <v>25</v>
      </c>
      <c r="E16" s="4" t="s">
        <v>245</v>
      </c>
    </row>
    <row r="17" spans="1:5" x14ac:dyDescent="0.25">
      <c r="A17" s="4" t="s">
        <v>33</v>
      </c>
      <c r="B17" s="4" t="s">
        <v>241</v>
      </c>
      <c r="C17" s="4" t="s">
        <v>250</v>
      </c>
      <c r="D17" s="4" t="s">
        <v>20</v>
      </c>
      <c r="E17" s="4" t="s">
        <v>251</v>
      </c>
    </row>
    <row r="18" spans="1:5" x14ac:dyDescent="0.25">
      <c r="A18" s="4" t="s">
        <v>34</v>
      </c>
      <c r="B18" s="4" t="s">
        <v>241</v>
      </c>
      <c r="C18" s="4" t="s">
        <v>252</v>
      </c>
      <c r="D18" s="4" t="s">
        <v>20</v>
      </c>
      <c r="E18" s="4"/>
    </row>
    <row r="19" spans="1:5" x14ac:dyDescent="0.25">
      <c r="A19" s="4" t="s">
        <v>35</v>
      </c>
      <c r="B19" s="4" t="s">
        <v>241</v>
      </c>
      <c r="C19" s="4" t="s">
        <v>244</v>
      </c>
      <c r="D19" s="4" t="s">
        <v>19</v>
      </c>
      <c r="E19" s="4" t="s">
        <v>245</v>
      </c>
    </row>
    <row r="20" spans="1:5" x14ac:dyDescent="0.25">
      <c r="A20" s="4" t="s">
        <v>36</v>
      </c>
      <c r="B20" s="4" t="s">
        <v>241</v>
      </c>
      <c r="C20" s="4" t="s">
        <v>244</v>
      </c>
      <c r="D20" s="4" t="s">
        <v>23</v>
      </c>
      <c r="E20" s="4" t="s">
        <v>245</v>
      </c>
    </row>
    <row r="21" spans="1:5" x14ac:dyDescent="0.25">
      <c r="A21" s="4" t="s">
        <v>37</v>
      </c>
      <c r="B21" s="4" t="s">
        <v>241</v>
      </c>
      <c r="C21" s="4" t="s">
        <v>253</v>
      </c>
      <c r="D21" s="4" t="s">
        <v>23</v>
      </c>
      <c r="E21" s="4" t="s">
        <v>254</v>
      </c>
    </row>
    <row r="22" spans="1:5" x14ac:dyDescent="0.25">
      <c r="A22" s="4" t="s">
        <v>38</v>
      </c>
      <c r="B22" s="4" t="s">
        <v>241</v>
      </c>
      <c r="C22" s="4" t="s">
        <v>255</v>
      </c>
      <c r="D22" s="4" t="s">
        <v>23</v>
      </c>
      <c r="E22" s="4" t="s">
        <v>256</v>
      </c>
    </row>
    <row r="23" spans="1:5" x14ac:dyDescent="0.25">
      <c r="A23" s="4" t="s">
        <v>39</v>
      </c>
      <c r="B23" s="4" t="s">
        <v>241</v>
      </c>
      <c r="C23" s="4" t="s">
        <v>257</v>
      </c>
      <c r="D23" s="4" t="s">
        <v>23</v>
      </c>
      <c r="E23" s="4" t="s">
        <v>258</v>
      </c>
    </row>
    <row r="24" spans="1:5" x14ac:dyDescent="0.25">
      <c r="A24" s="4" t="s">
        <v>40</v>
      </c>
      <c r="B24" s="4" t="s">
        <v>241</v>
      </c>
      <c r="C24" s="4" t="s">
        <v>259</v>
      </c>
      <c r="D24" s="4" t="s">
        <v>260</v>
      </c>
      <c r="E24" s="4" t="s">
        <v>261</v>
      </c>
    </row>
    <row r="25" spans="1:5" x14ac:dyDescent="0.25">
      <c r="A25" s="4" t="s">
        <v>41</v>
      </c>
      <c r="B25" s="4" t="s">
        <v>241</v>
      </c>
      <c r="C25" s="4" t="s">
        <v>262</v>
      </c>
      <c r="D25" s="4" t="s">
        <v>263</v>
      </c>
      <c r="E25" s="4" t="s">
        <v>264</v>
      </c>
    </row>
    <row r="26" spans="1:5" x14ac:dyDescent="0.25">
      <c r="A26" s="4" t="s">
        <v>42</v>
      </c>
      <c r="B26" s="4" t="s">
        <v>241</v>
      </c>
      <c r="C26" s="4" t="s">
        <v>265</v>
      </c>
      <c r="D26" s="4" t="s">
        <v>266</v>
      </c>
      <c r="E26" s="4" t="s">
        <v>267</v>
      </c>
    </row>
    <row r="27" spans="1:5" x14ac:dyDescent="0.25">
      <c r="A27" s="4" t="s">
        <v>268</v>
      </c>
      <c r="B27" s="4" t="s">
        <v>269</v>
      </c>
      <c r="C27" s="4" t="s">
        <v>270</v>
      </c>
      <c r="D27" s="4" t="s">
        <v>271</v>
      </c>
      <c r="E27" s="4" t="s">
        <v>272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0"/>
  <sheetViews>
    <sheetView topLeftCell="B1" zoomScale="115" zoomScaleNormal="115" workbookViewId="0">
      <pane ySplit="1" topLeftCell="A2" activePane="bottomLeft" state="frozen"/>
      <selection pane="bottomLeft" activeCell="H44" sqref="H44"/>
    </sheetView>
  </sheetViews>
  <sheetFormatPr defaultColWidth="8.7109375" defaultRowHeight="18.75" x14ac:dyDescent="0.3"/>
  <cols>
    <col min="1" max="1" width="12" style="14" customWidth="1"/>
    <col min="2" max="2" width="21.5703125" style="14" customWidth="1"/>
    <col min="3" max="3" width="29.42578125" style="14" customWidth="1"/>
    <col min="4" max="4" width="30" style="14" customWidth="1"/>
    <col min="5" max="5" width="44" style="11" customWidth="1"/>
    <col min="6" max="6" width="52" style="11" customWidth="1"/>
    <col min="7" max="7" width="15.28515625" style="11" customWidth="1"/>
    <col min="8" max="8" width="12" style="11" customWidth="1"/>
    <col min="9" max="9" width="28" customWidth="1"/>
  </cols>
  <sheetData>
    <row r="1" spans="1:9" ht="36" x14ac:dyDescent="0.25">
      <c r="A1" s="12" t="s">
        <v>45</v>
      </c>
      <c r="B1" s="12" t="s">
        <v>11</v>
      </c>
      <c r="C1" s="12" t="s">
        <v>47</v>
      </c>
      <c r="D1" s="12" t="s">
        <v>48</v>
      </c>
      <c r="E1" s="9" t="s">
        <v>49</v>
      </c>
      <c r="F1" s="9" t="s">
        <v>50</v>
      </c>
      <c r="G1" s="9" t="s">
        <v>273</v>
      </c>
      <c r="H1" s="9" t="s">
        <v>274</v>
      </c>
      <c r="I1" s="3" t="s">
        <v>223</v>
      </c>
    </row>
    <row r="2" spans="1:9" ht="45" x14ac:dyDescent="0.25">
      <c r="A2" s="13" t="s">
        <v>275</v>
      </c>
      <c r="B2" s="13" t="s">
        <v>276</v>
      </c>
      <c r="C2" s="13" t="s">
        <v>277</v>
      </c>
      <c r="D2" s="13" t="s">
        <v>278</v>
      </c>
      <c r="E2" s="10" t="s">
        <v>279</v>
      </c>
      <c r="F2" s="10" t="s">
        <v>280</v>
      </c>
      <c r="G2" s="10" t="s">
        <v>674</v>
      </c>
      <c r="H2" s="10" t="s">
        <v>13</v>
      </c>
      <c r="I2" s="4"/>
    </row>
    <row r="3" spans="1:9" ht="45" x14ac:dyDescent="0.25">
      <c r="A3" s="13" t="s">
        <v>281</v>
      </c>
      <c r="B3" s="13" t="s">
        <v>276</v>
      </c>
      <c r="C3" s="13" t="s">
        <v>282</v>
      </c>
      <c r="D3" s="13" t="s">
        <v>283</v>
      </c>
      <c r="E3" s="10" t="s">
        <v>284</v>
      </c>
      <c r="F3" s="10" t="s">
        <v>285</v>
      </c>
      <c r="G3" s="10" t="s">
        <v>674</v>
      </c>
      <c r="H3" s="10" t="s">
        <v>13</v>
      </c>
      <c r="I3" s="15"/>
    </row>
    <row r="4" spans="1:9" ht="45" x14ac:dyDescent="0.25">
      <c r="A4" s="13" t="s">
        <v>286</v>
      </c>
      <c r="B4" s="13" t="s">
        <v>276</v>
      </c>
      <c r="C4" s="13" t="s">
        <v>287</v>
      </c>
      <c r="D4" s="13" t="s">
        <v>283</v>
      </c>
      <c r="E4" s="10" t="s">
        <v>288</v>
      </c>
      <c r="F4" s="10" t="s">
        <v>289</v>
      </c>
      <c r="G4" s="10" t="s">
        <v>674</v>
      </c>
      <c r="H4" s="10" t="s">
        <v>13</v>
      </c>
      <c r="I4" s="4"/>
    </row>
    <row r="5" spans="1:9" ht="45" x14ac:dyDescent="0.25">
      <c r="A5" s="13" t="s">
        <v>290</v>
      </c>
      <c r="B5" s="13" t="s">
        <v>276</v>
      </c>
      <c r="C5" s="13" t="s">
        <v>291</v>
      </c>
      <c r="D5" s="13" t="s">
        <v>292</v>
      </c>
      <c r="E5" s="10" t="s">
        <v>293</v>
      </c>
      <c r="F5" s="10" t="s">
        <v>294</v>
      </c>
      <c r="G5" s="10" t="s">
        <v>674</v>
      </c>
      <c r="H5" s="10" t="s">
        <v>642</v>
      </c>
      <c r="I5" s="4"/>
    </row>
    <row r="6" spans="1:9" ht="30" x14ac:dyDescent="0.25">
      <c r="A6" s="13" t="s">
        <v>295</v>
      </c>
      <c r="B6" s="13" t="s">
        <v>276</v>
      </c>
      <c r="C6" s="13" t="s">
        <v>296</v>
      </c>
      <c r="D6" s="13" t="s">
        <v>292</v>
      </c>
      <c r="E6" s="10" t="s">
        <v>297</v>
      </c>
      <c r="F6" s="10" t="s">
        <v>298</v>
      </c>
      <c r="G6" s="10" t="s">
        <v>674</v>
      </c>
      <c r="H6" s="10" t="s">
        <v>642</v>
      </c>
      <c r="I6" s="4"/>
    </row>
    <row r="7" spans="1:9" ht="36" x14ac:dyDescent="0.25">
      <c r="A7" s="13" t="s">
        <v>299</v>
      </c>
      <c r="B7" s="13" t="s">
        <v>276</v>
      </c>
      <c r="C7" s="13" t="s">
        <v>300</v>
      </c>
      <c r="D7" s="13" t="s">
        <v>301</v>
      </c>
      <c r="E7" s="10" t="s">
        <v>302</v>
      </c>
      <c r="F7" s="10" t="s">
        <v>303</v>
      </c>
      <c r="G7" s="10" t="s">
        <v>674</v>
      </c>
      <c r="H7" s="10" t="s">
        <v>642</v>
      </c>
      <c r="I7" s="4"/>
    </row>
    <row r="8" spans="1:9" ht="36" x14ac:dyDescent="0.25">
      <c r="A8" s="13" t="s">
        <v>304</v>
      </c>
      <c r="B8" s="13" t="s">
        <v>276</v>
      </c>
      <c r="C8" s="13" t="s">
        <v>305</v>
      </c>
      <c r="D8" s="13" t="s">
        <v>306</v>
      </c>
      <c r="E8" s="10" t="s">
        <v>307</v>
      </c>
      <c r="F8" s="10" t="s">
        <v>308</v>
      </c>
      <c r="G8" s="10" t="s">
        <v>674</v>
      </c>
      <c r="H8" s="10" t="s">
        <v>13</v>
      </c>
      <c r="I8" s="4"/>
    </row>
    <row r="9" spans="1:9" ht="36" x14ac:dyDescent="0.25">
      <c r="A9" s="13" t="s">
        <v>309</v>
      </c>
      <c r="B9" s="13" t="s">
        <v>276</v>
      </c>
      <c r="C9" s="13" t="s">
        <v>310</v>
      </c>
      <c r="D9" s="13" t="s">
        <v>55</v>
      </c>
      <c r="E9" s="10" t="s">
        <v>311</v>
      </c>
      <c r="F9" s="10" t="s">
        <v>312</v>
      </c>
      <c r="G9" s="10" t="s">
        <v>674</v>
      </c>
      <c r="H9" s="10" t="s">
        <v>642</v>
      </c>
      <c r="I9" s="4"/>
    </row>
    <row r="10" spans="1:9" ht="54" x14ac:dyDescent="0.25">
      <c r="A10" s="13" t="s">
        <v>313</v>
      </c>
      <c r="B10" s="13" t="s">
        <v>314</v>
      </c>
      <c r="C10" s="13" t="s">
        <v>315</v>
      </c>
      <c r="D10" s="13" t="s">
        <v>316</v>
      </c>
      <c r="E10" s="10" t="s">
        <v>317</v>
      </c>
      <c r="F10" s="10" t="s">
        <v>318</v>
      </c>
      <c r="G10" s="10" t="s">
        <v>674</v>
      </c>
      <c r="H10" s="10" t="s">
        <v>642</v>
      </c>
      <c r="I10" s="4" t="s">
        <v>675</v>
      </c>
    </row>
    <row r="11" spans="1:9" ht="36" x14ac:dyDescent="0.25">
      <c r="A11" s="13" t="s">
        <v>319</v>
      </c>
      <c r="B11" s="13" t="s">
        <v>314</v>
      </c>
      <c r="C11" s="13" t="s">
        <v>320</v>
      </c>
      <c r="D11" s="13" t="s">
        <v>321</v>
      </c>
      <c r="E11" s="10" t="s">
        <v>322</v>
      </c>
      <c r="F11" s="10" t="s">
        <v>323</v>
      </c>
      <c r="G11" s="10" t="s">
        <v>674</v>
      </c>
      <c r="H11" s="10" t="s">
        <v>642</v>
      </c>
      <c r="I11" s="4"/>
    </row>
    <row r="12" spans="1:9" ht="36" x14ac:dyDescent="0.25">
      <c r="A12" s="13" t="s">
        <v>324</v>
      </c>
      <c r="B12" s="13" t="s">
        <v>314</v>
      </c>
      <c r="C12" s="13" t="s">
        <v>325</v>
      </c>
      <c r="D12" s="13" t="s">
        <v>321</v>
      </c>
      <c r="E12" s="10" t="s">
        <v>326</v>
      </c>
      <c r="F12" s="10" t="s">
        <v>327</v>
      </c>
      <c r="G12" s="10" t="s">
        <v>674</v>
      </c>
      <c r="H12" s="10" t="s">
        <v>642</v>
      </c>
      <c r="I12" s="4"/>
    </row>
    <row r="13" spans="1:9" ht="36" x14ac:dyDescent="0.25">
      <c r="A13" s="13" t="s">
        <v>328</v>
      </c>
      <c r="B13" s="13" t="s">
        <v>314</v>
      </c>
      <c r="C13" s="13" t="s">
        <v>329</v>
      </c>
      <c r="D13" s="13" t="s">
        <v>330</v>
      </c>
      <c r="E13" s="10" t="s">
        <v>331</v>
      </c>
      <c r="F13" s="10" t="s">
        <v>332</v>
      </c>
      <c r="G13" s="10" t="s">
        <v>674</v>
      </c>
      <c r="H13" s="10" t="s">
        <v>642</v>
      </c>
      <c r="I13" s="4"/>
    </row>
    <row r="14" spans="1:9" ht="60" x14ac:dyDescent="0.25">
      <c r="A14" s="13" t="s">
        <v>333</v>
      </c>
      <c r="B14" s="13" t="s">
        <v>314</v>
      </c>
      <c r="C14" s="13" t="s">
        <v>334</v>
      </c>
      <c r="D14" s="13" t="s">
        <v>335</v>
      </c>
      <c r="E14" s="10" t="s">
        <v>336</v>
      </c>
      <c r="F14" s="10" t="s">
        <v>337</v>
      </c>
      <c r="G14" s="10" t="s">
        <v>674</v>
      </c>
      <c r="H14" s="10" t="s">
        <v>642</v>
      </c>
      <c r="I14" s="4"/>
    </row>
    <row r="15" spans="1:9" ht="36" x14ac:dyDescent="0.25">
      <c r="A15" s="13" t="s">
        <v>338</v>
      </c>
      <c r="B15" s="13" t="s">
        <v>314</v>
      </c>
      <c r="C15" s="13" t="s">
        <v>339</v>
      </c>
      <c r="D15" s="13" t="s">
        <v>340</v>
      </c>
      <c r="E15" s="10" t="s">
        <v>341</v>
      </c>
      <c r="F15" s="10" t="s">
        <v>342</v>
      </c>
      <c r="G15" s="10" t="s">
        <v>674</v>
      </c>
      <c r="H15" s="10" t="s">
        <v>642</v>
      </c>
      <c r="I15" s="4"/>
    </row>
    <row r="16" spans="1:9" ht="36" x14ac:dyDescent="0.25">
      <c r="A16" s="13" t="s">
        <v>343</v>
      </c>
      <c r="B16" s="13" t="s">
        <v>314</v>
      </c>
      <c r="C16" s="13" t="s">
        <v>344</v>
      </c>
      <c r="D16" s="13" t="s">
        <v>321</v>
      </c>
      <c r="E16" s="10" t="s">
        <v>345</v>
      </c>
      <c r="F16" s="10" t="s">
        <v>346</v>
      </c>
      <c r="G16" s="10" t="s">
        <v>674</v>
      </c>
      <c r="H16" s="10" t="s">
        <v>642</v>
      </c>
      <c r="I16" s="4"/>
    </row>
    <row r="17" spans="1:9" ht="45" x14ac:dyDescent="0.25">
      <c r="A17" s="13" t="s">
        <v>347</v>
      </c>
      <c r="B17" s="13" t="s">
        <v>314</v>
      </c>
      <c r="C17" s="13" t="s">
        <v>348</v>
      </c>
      <c r="D17" s="13" t="s">
        <v>349</v>
      </c>
      <c r="E17" s="10" t="s">
        <v>350</v>
      </c>
      <c r="F17" s="10" t="s">
        <v>351</v>
      </c>
      <c r="G17" s="10" t="s">
        <v>674</v>
      </c>
      <c r="H17" s="10" t="s">
        <v>17</v>
      </c>
      <c r="I17" s="4"/>
    </row>
    <row r="18" spans="1:9" ht="36" x14ac:dyDescent="0.25">
      <c r="A18" s="13" t="s">
        <v>352</v>
      </c>
      <c r="B18" s="13" t="s">
        <v>314</v>
      </c>
      <c r="C18" s="13" t="s">
        <v>353</v>
      </c>
      <c r="D18" s="13" t="s">
        <v>348</v>
      </c>
      <c r="E18" s="10" t="s">
        <v>354</v>
      </c>
      <c r="F18" s="10" t="s">
        <v>355</v>
      </c>
      <c r="G18" s="10" t="s">
        <v>674</v>
      </c>
      <c r="H18" s="10" t="s">
        <v>17</v>
      </c>
      <c r="I18" s="4"/>
    </row>
    <row r="19" spans="1:9" ht="36" x14ac:dyDescent="0.25">
      <c r="A19" s="13" t="s">
        <v>356</v>
      </c>
      <c r="B19" s="13" t="s">
        <v>357</v>
      </c>
      <c r="C19" s="13" t="s">
        <v>358</v>
      </c>
      <c r="D19" s="13" t="s">
        <v>349</v>
      </c>
      <c r="E19" s="10" t="s">
        <v>359</v>
      </c>
      <c r="F19" s="10" t="s">
        <v>360</v>
      </c>
      <c r="G19" s="10" t="s">
        <v>674</v>
      </c>
      <c r="H19" s="10" t="s">
        <v>642</v>
      </c>
      <c r="I19" s="4"/>
    </row>
    <row r="20" spans="1:9" ht="36" x14ac:dyDescent="0.25">
      <c r="A20" s="13" t="s">
        <v>361</v>
      </c>
      <c r="B20" s="13" t="s">
        <v>357</v>
      </c>
      <c r="C20" s="13" t="s">
        <v>362</v>
      </c>
      <c r="D20" s="13" t="s">
        <v>283</v>
      </c>
      <c r="E20" s="10" t="s">
        <v>363</v>
      </c>
      <c r="F20" s="10" t="s">
        <v>364</v>
      </c>
      <c r="G20" s="10" t="s">
        <v>674</v>
      </c>
      <c r="H20" s="10" t="s">
        <v>642</v>
      </c>
      <c r="I20" s="4"/>
    </row>
    <row r="21" spans="1:9" ht="36" x14ac:dyDescent="0.25">
      <c r="A21" s="13" t="s">
        <v>365</v>
      </c>
      <c r="B21" s="13" t="s">
        <v>357</v>
      </c>
      <c r="C21" s="13" t="s">
        <v>366</v>
      </c>
      <c r="D21" s="13" t="s">
        <v>367</v>
      </c>
      <c r="E21" s="10" t="s">
        <v>368</v>
      </c>
      <c r="F21" s="10" t="s">
        <v>369</v>
      </c>
      <c r="G21" s="10" t="s">
        <v>674</v>
      </c>
      <c r="H21" s="10" t="s">
        <v>642</v>
      </c>
      <c r="I21" s="4"/>
    </row>
    <row r="22" spans="1:9" ht="36" x14ac:dyDescent="0.25">
      <c r="A22" s="13" t="s">
        <v>370</v>
      </c>
      <c r="B22" s="13" t="s">
        <v>357</v>
      </c>
      <c r="C22" s="13" t="s">
        <v>371</v>
      </c>
      <c r="D22" s="13" t="s">
        <v>367</v>
      </c>
      <c r="E22" s="10" t="s">
        <v>372</v>
      </c>
      <c r="F22" s="10" t="s">
        <v>373</v>
      </c>
      <c r="G22" s="10" t="s">
        <v>674</v>
      </c>
      <c r="H22" s="10" t="s">
        <v>642</v>
      </c>
      <c r="I22" s="4"/>
    </row>
    <row r="23" spans="1:9" ht="36" x14ac:dyDescent="0.25">
      <c r="A23" s="13" t="s">
        <v>374</v>
      </c>
      <c r="B23" s="13" t="s">
        <v>357</v>
      </c>
      <c r="C23" s="13" t="s">
        <v>375</v>
      </c>
      <c r="D23" s="13" t="s">
        <v>367</v>
      </c>
      <c r="E23" s="10" t="s">
        <v>376</v>
      </c>
      <c r="F23" s="10" t="s">
        <v>377</v>
      </c>
      <c r="G23" s="10" t="s">
        <v>674</v>
      </c>
      <c r="H23" s="10" t="s">
        <v>642</v>
      </c>
      <c r="I23" s="4"/>
    </row>
    <row r="24" spans="1:9" ht="45" x14ac:dyDescent="0.25">
      <c r="A24" s="13" t="s">
        <v>378</v>
      </c>
      <c r="B24" s="13" t="s">
        <v>357</v>
      </c>
      <c r="C24" s="13" t="s">
        <v>379</v>
      </c>
      <c r="D24" s="13" t="s">
        <v>367</v>
      </c>
      <c r="E24" s="10" t="s">
        <v>380</v>
      </c>
      <c r="F24" s="10" t="s">
        <v>381</v>
      </c>
      <c r="G24" s="10" t="s">
        <v>674</v>
      </c>
      <c r="H24" s="10" t="s">
        <v>647</v>
      </c>
      <c r="I24" s="4" t="s">
        <v>676</v>
      </c>
    </row>
    <row r="25" spans="1:9" ht="36" x14ac:dyDescent="0.25">
      <c r="A25" s="13" t="s">
        <v>382</v>
      </c>
      <c r="B25" s="13" t="s">
        <v>357</v>
      </c>
      <c r="C25" s="13" t="s">
        <v>383</v>
      </c>
      <c r="D25" s="13" t="s">
        <v>384</v>
      </c>
      <c r="E25" s="10" t="s">
        <v>385</v>
      </c>
      <c r="F25" s="10" t="s">
        <v>386</v>
      </c>
      <c r="G25" s="10" t="s">
        <v>674</v>
      </c>
      <c r="H25" s="10" t="s">
        <v>664</v>
      </c>
      <c r="I25" s="4"/>
    </row>
    <row r="26" spans="1:9" ht="36" x14ac:dyDescent="0.25">
      <c r="A26" s="13" t="s">
        <v>387</v>
      </c>
      <c r="B26" s="13" t="s">
        <v>357</v>
      </c>
      <c r="C26" s="13" t="s">
        <v>388</v>
      </c>
      <c r="D26" s="13" t="s">
        <v>367</v>
      </c>
      <c r="E26" s="10" t="s">
        <v>389</v>
      </c>
      <c r="F26" s="10" t="s">
        <v>390</v>
      </c>
      <c r="G26" s="10" t="s">
        <v>674</v>
      </c>
      <c r="H26" s="10" t="s">
        <v>642</v>
      </c>
      <c r="I26" s="4"/>
    </row>
    <row r="27" spans="1:9" ht="36" x14ac:dyDescent="0.25">
      <c r="A27" s="13" t="s">
        <v>391</v>
      </c>
      <c r="B27" s="13" t="s">
        <v>357</v>
      </c>
      <c r="C27" s="13" t="s">
        <v>392</v>
      </c>
      <c r="D27" s="13" t="s">
        <v>321</v>
      </c>
      <c r="E27" s="10" t="s">
        <v>393</v>
      </c>
      <c r="F27" s="10" t="s">
        <v>394</v>
      </c>
      <c r="G27" s="10" t="s">
        <v>674</v>
      </c>
      <c r="H27" s="10" t="s">
        <v>642</v>
      </c>
      <c r="I27" s="4" t="s">
        <v>677</v>
      </c>
    </row>
    <row r="28" spans="1:9" ht="60" x14ac:dyDescent="0.25">
      <c r="A28" s="13" t="s">
        <v>395</v>
      </c>
      <c r="B28" s="13" t="s">
        <v>396</v>
      </c>
      <c r="C28" s="13" t="s">
        <v>397</v>
      </c>
      <c r="D28" s="13" t="s">
        <v>398</v>
      </c>
      <c r="E28" s="10" t="s">
        <v>399</v>
      </c>
      <c r="F28" s="10" t="s">
        <v>400</v>
      </c>
      <c r="G28" s="10" t="s">
        <v>674</v>
      </c>
      <c r="H28" s="10" t="s">
        <v>642</v>
      </c>
      <c r="I28" s="4"/>
    </row>
    <row r="29" spans="1:9" ht="36" x14ac:dyDescent="0.25">
      <c r="A29" s="13" t="s">
        <v>401</v>
      </c>
      <c r="B29" s="13" t="s">
        <v>396</v>
      </c>
      <c r="C29" s="13" t="s">
        <v>402</v>
      </c>
      <c r="D29" s="13" t="s">
        <v>403</v>
      </c>
      <c r="E29" s="10" t="s">
        <v>404</v>
      </c>
      <c r="F29" s="10" t="s">
        <v>405</v>
      </c>
      <c r="G29" s="10" t="s">
        <v>674</v>
      </c>
      <c r="H29" s="10" t="s">
        <v>642</v>
      </c>
      <c r="I29" s="4"/>
    </row>
    <row r="30" spans="1:9" ht="36" x14ac:dyDescent="0.25">
      <c r="A30" s="13" t="s">
        <v>406</v>
      </c>
      <c r="B30" s="13" t="s">
        <v>396</v>
      </c>
      <c r="C30" s="13" t="s">
        <v>407</v>
      </c>
      <c r="D30" s="13" t="s">
        <v>408</v>
      </c>
      <c r="E30" s="10" t="s">
        <v>409</v>
      </c>
      <c r="F30" s="10" t="s">
        <v>410</v>
      </c>
      <c r="G30" s="10" t="s">
        <v>674</v>
      </c>
      <c r="H30" s="10" t="s">
        <v>642</v>
      </c>
      <c r="I30" s="4"/>
    </row>
    <row r="31" spans="1:9" ht="60" x14ac:dyDescent="0.25">
      <c r="A31" s="13" t="s">
        <v>411</v>
      </c>
      <c r="B31" s="13" t="s">
        <v>396</v>
      </c>
      <c r="C31" s="13" t="s">
        <v>412</v>
      </c>
      <c r="D31" s="13" t="s">
        <v>413</v>
      </c>
      <c r="E31" s="10" t="s">
        <v>414</v>
      </c>
      <c r="F31" s="10" t="s">
        <v>415</v>
      </c>
      <c r="G31" s="10" t="s">
        <v>674</v>
      </c>
      <c r="H31" s="10" t="s">
        <v>642</v>
      </c>
      <c r="I31" s="4"/>
    </row>
    <row r="32" spans="1:9" ht="36" x14ac:dyDescent="0.25">
      <c r="A32" s="13" t="s">
        <v>416</v>
      </c>
      <c r="B32" s="13" t="s">
        <v>396</v>
      </c>
      <c r="C32" s="13" t="s">
        <v>417</v>
      </c>
      <c r="D32" s="13" t="s">
        <v>403</v>
      </c>
      <c r="E32" s="10" t="s">
        <v>418</v>
      </c>
      <c r="F32" s="10" t="s">
        <v>419</v>
      </c>
      <c r="G32" s="10" t="s">
        <v>674</v>
      </c>
      <c r="H32" s="10" t="s">
        <v>642</v>
      </c>
      <c r="I32" s="4"/>
    </row>
    <row r="33" spans="1:9" ht="36" x14ac:dyDescent="0.25">
      <c r="A33" s="13" t="s">
        <v>420</v>
      </c>
      <c r="B33" s="13" t="s">
        <v>396</v>
      </c>
      <c r="C33" s="13" t="s">
        <v>421</v>
      </c>
      <c r="D33" s="13" t="s">
        <v>422</v>
      </c>
      <c r="E33" s="10" t="s">
        <v>423</v>
      </c>
      <c r="F33" s="10" t="s">
        <v>424</v>
      </c>
      <c r="G33" s="10" t="s">
        <v>674</v>
      </c>
      <c r="H33" s="10" t="s">
        <v>17</v>
      </c>
      <c r="I33" s="4"/>
    </row>
    <row r="34" spans="1:9" ht="36" x14ac:dyDescent="0.25">
      <c r="A34" s="13" t="s">
        <v>425</v>
      </c>
      <c r="B34" s="13" t="s">
        <v>396</v>
      </c>
      <c r="C34" s="13" t="s">
        <v>426</v>
      </c>
      <c r="D34" s="13" t="s">
        <v>403</v>
      </c>
      <c r="E34" s="10" t="s">
        <v>427</v>
      </c>
      <c r="F34" s="10" t="s">
        <v>428</v>
      </c>
      <c r="G34" s="10" t="s">
        <v>674</v>
      </c>
      <c r="H34" s="10" t="s">
        <v>647</v>
      </c>
      <c r="I34" s="4" t="s">
        <v>678</v>
      </c>
    </row>
    <row r="35" spans="1:9" ht="36" x14ac:dyDescent="0.25">
      <c r="A35" s="13" t="s">
        <v>429</v>
      </c>
      <c r="B35" s="13" t="s">
        <v>396</v>
      </c>
      <c r="C35" s="13" t="s">
        <v>430</v>
      </c>
      <c r="D35" s="13" t="s">
        <v>403</v>
      </c>
      <c r="E35" s="10" t="s">
        <v>431</v>
      </c>
      <c r="F35" s="10" t="s">
        <v>432</v>
      </c>
      <c r="G35" s="10" t="s">
        <v>674</v>
      </c>
      <c r="H35" s="10" t="s">
        <v>642</v>
      </c>
      <c r="I35" s="4"/>
    </row>
    <row r="36" spans="1:9" ht="45" x14ac:dyDescent="0.25">
      <c r="A36" s="13" t="s">
        <v>433</v>
      </c>
      <c r="B36" s="13" t="s">
        <v>396</v>
      </c>
      <c r="C36" s="13" t="s">
        <v>434</v>
      </c>
      <c r="D36" s="13" t="s">
        <v>403</v>
      </c>
      <c r="E36" s="10" t="s">
        <v>435</v>
      </c>
      <c r="F36" s="10" t="s">
        <v>419</v>
      </c>
      <c r="G36" s="10" t="s">
        <v>674</v>
      </c>
      <c r="H36" s="10" t="s">
        <v>642</v>
      </c>
      <c r="I36" s="4"/>
    </row>
    <row r="37" spans="1:9" ht="54" x14ac:dyDescent="0.25">
      <c r="A37" s="13" t="s">
        <v>436</v>
      </c>
      <c r="B37" s="13" t="s">
        <v>396</v>
      </c>
      <c r="C37" s="13" t="s">
        <v>437</v>
      </c>
      <c r="D37" s="13" t="s">
        <v>403</v>
      </c>
      <c r="E37" s="10" t="s">
        <v>438</v>
      </c>
      <c r="F37" s="10" t="s">
        <v>419</v>
      </c>
      <c r="G37" s="10" t="s">
        <v>674</v>
      </c>
      <c r="H37" s="10" t="s">
        <v>642</v>
      </c>
      <c r="I37" s="4"/>
    </row>
    <row r="38" spans="1:9" ht="36" x14ac:dyDescent="0.25">
      <c r="A38" s="13" t="s">
        <v>439</v>
      </c>
      <c r="B38" s="13" t="s">
        <v>396</v>
      </c>
      <c r="C38" s="13" t="s">
        <v>296</v>
      </c>
      <c r="D38" s="13" t="s">
        <v>403</v>
      </c>
      <c r="E38" s="10" t="s">
        <v>440</v>
      </c>
      <c r="F38" s="10" t="s">
        <v>441</v>
      </c>
      <c r="G38" s="10" t="s">
        <v>674</v>
      </c>
      <c r="H38" s="10" t="s">
        <v>647</v>
      </c>
      <c r="I38" s="4" t="s">
        <v>679</v>
      </c>
    </row>
    <row r="39" spans="1:9" ht="36" x14ac:dyDescent="0.25">
      <c r="A39" s="13" t="s">
        <v>442</v>
      </c>
      <c r="B39" s="13" t="s">
        <v>396</v>
      </c>
      <c r="C39" s="13" t="s">
        <v>443</v>
      </c>
      <c r="D39" s="13" t="s">
        <v>403</v>
      </c>
      <c r="E39" s="10" t="s">
        <v>444</v>
      </c>
      <c r="F39" s="10" t="s">
        <v>445</v>
      </c>
      <c r="G39" s="10" t="s">
        <v>674</v>
      </c>
      <c r="H39" s="10" t="s">
        <v>13</v>
      </c>
      <c r="I39" s="4"/>
    </row>
    <row r="40" spans="1:9" ht="36" x14ac:dyDescent="0.25">
      <c r="A40" s="13" t="s">
        <v>446</v>
      </c>
      <c r="B40" s="13" t="s">
        <v>396</v>
      </c>
      <c r="C40" s="13" t="s">
        <v>447</v>
      </c>
      <c r="D40" s="13" t="s">
        <v>448</v>
      </c>
      <c r="E40" s="10" t="s">
        <v>449</v>
      </c>
      <c r="F40" s="10" t="s">
        <v>450</v>
      </c>
      <c r="G40" s="10" t="s">
        <v>674</v>
      </c>
      <c r="H40" s="10" t="s">
        <v>13</v>
      </c>
      <c r="I40" s="4"/>
    </row>
    <row r="41" spans="1:9" ht="45" x14ac:dyDescent="0.25">
      <c r="A41" s="13" t="s">
        <v>451</v>
      </c>
      <c r="B41" s="13" t="s">
        <v>452</v>
      </c>
      <c r="C41" s="13" t="s">
        <v>453</v>
      </c>
      <c r="D41" s="13" t="s">
        <v>55</v>
      </c>
      <c r="E41" s="10" t="s">
        <v>454</v>
      </c>
      <c r="F41" s="10" t="s">
        <v>455</v>
      </c>
      <c r="G41" s="10" t="s">
        <v>674</v>
      </c>
      <c r="H41" s="10" t="s">
        <v>17</v>
      </c>
      <c r="I41" s="4"/>
    </row>
    <row r="42" spans="1:9" ht="36" x14ac:dyDescent="0.25">
      <c r="A42" s="13" t="s">
        <v>456</v>
      </c>
      <c r="B42" s="13" t="s">
        <v>452</v>
      </c>
      <c r="C42" s="13" t="s">
        <v>457</v>
      </c>
      <c r="D42" s="13" t="s">
        <v>55</v>
      </c>
      <c r="E42" s="10" t="s">
        <v>458</v>
      </c>
      <c r="F42" s="10" t="s">
        <v>459</v>
      </c>
      <c r="G42" s="10" t="s">
        <v>674</v>
      </c>
      <c r="H42" s="10" t="s">
        <v>17</v>
      </c>
      <c r="I42" s="4"/>
    </row>
    <row r="43" spans="1:9" ht="36" x14ac:dyDescent="0.25">
      <c r="A43" s="13" t="s">
        <v>460</v>
      </c>
      <c r="B43" s="13" t="s">
        <v>452</v>
      </c>
      <c r="C43" s="13" t="s">
        <v>461</v>
      </c>
      <c r="D43" s="13" t="s">
        <v>55</v>
      </c>
      <c r="E43" s="10" t="s">
        <v>462</v>
      </c>
      <c r="F43" s="10" t="s">
        <v>463</v>
      </c>
      <c r="G43" s="10" t="s">
        <v>674</v>
      </c>
      <c r="H43" s="10" t="s">
        <v>17</v>
      </c>
      <c r="I43" s="4"/>
    </row>
    <row r="44" spans="1:9" ht="36" x14ac:dyDescent="0.25">
      <c r="A44" s="13" t="s">
        <v>464</v>
      </c>
      <c r="B44" s="13" t="s">
        <v>452</v>
      </c>
      <c r="C44" s="13" t="s">
        <v>465</v>
      </c>
      <c r="D44" s="13" t="s">
        <v>55</v>
      </c>
      <c r="E44" s="10" t="s">
        <v>466</v>
      </c>
      <c r="F44" s="10" t="s">
        <v>467</v>
      </c>
      <c r="G44" s="10" t="s">
        <v>674</v>
      </c>
      <c r="H44" s="10" t="s">
        <v>17</v>
      </c>
      <c r="I44" s="4"/>
    </row>
    <row r="45" spans="1:9" ht="54" x14ac:dyDescent="0.25">
      <c r="A45" s="13" t="s">
        <v>468</v>
      </c>
      <c r="B45" s="13" t="s">
        <v>452</v>
      </c>
      <c r="C45" s="13" t="s">
        <v>469</v>
      </c>
      <c r="D45" s="13" t="s">
        <v>470</v>
      </c>
      <c r="E45" s="10" t="s">
        <v>471</v>
      </c>
      <c r="F45" s="10" t="s">
        <v>472</v>
      </c>
      <c r="G45" s="10" t="s">
        <v>674</v>
      </c>
      <c r="H45" s="10" t="s">
        <v>642</v>
      </c>
      <c r="I45" s="4"/>
    </row>
    <row r="46" spans="1:9" ht="36" x14ac:dyDescent="0.25">
      <c r="A46" s="13" t="s">
        <v>473</v>
      </c>
      <c r="B46" s="13" t="s">
        <v>452</v>
      </c>
      <c r="C46" s="13" t="s">
        <v>474</v>
      </c>
      <c r="D46" s="13" t="s">
        <v>475</v>
      </c>
      <c r="E46" s="10" t="s">
        <v>476</v>
      </c>
      <c r="F46" s="10" t="s">
        <v>477</v>
      </c>
      <c r="G46" s="10" t="s">
        <v>674</v>
      </c>
      <c r="H46" s="10" t="s">
        <v>642</v>
      </c>
      <c r="I46" s="4"/>
    </row>
    <row r="47" spans="1:9" ht="45" x14ac:dyDescent="0.25">
      <c r="A47" s="13" t="s">
        <v>478</v>
      </c>
      <c r="B47" s="13" t="s">
        <v>452</v>
      </c>
      <c r="C47" s="13" t="s">
        <v>479</v>
      </c>
      <c r="D47" s="13" t="s">
        <v>480</v>
      </c>
      <c r="E47" s="10" t="s">
        <v>481</v>
      </c>
      <c r="F47" s="10" t="s">
        <v>482</v>
      </c>
      <c r="G47" s="10" t="s">
        <v>674</v>
      </c>
      <c r="H47" s="10" t="s">
        <v>13</v>
      </c>
      <c r="I47" s="4"/>
    </row>
    <row r="48" spans="1:9" ht="45" x14ac:dyDescent="0.25">
      <c r="A48" s="13" t="s">
        <v>483</v>
      </c>
      <c r="B48" s="13" t="s">
        <v>484</v>
      </c>
      <c r="C48" s="13" t="s">
        <v>485</v>
      </c>
      <c r="D48" s="13" t="s">
        <v>55</v>
      </c>
      <c r="E48" s="10" t="s">
        <v>486</v>
      </c>
      <c r="F48" s="10" t="s">
        <v>487</v>
      </c>
      <c r="G48" s="10" t="s">
        <v>674</v>
      </c>
      <c r="H48" s="10" t="s">
        <v>642</v>
      </c>
      <c r="I48" s="4"/>
    </row>
    <row r="49" spans="1:9" ht="36" x14ac:dyDescent="0.25">
      <c r="A49" s="13" t="s">
        <v>488</v>
      </c>
      <c r="B49" s="13" t="s">
        <v>484</v>
      </c>
      <c r="C49" s="13" t="s">
        <v>489</v>
      </c>
      <c r="D49" s="13" t="s">
        <v>490</v>
      </c>
      <c r="E49" s="10" t="s">
        <v>491</v>
      </c>
      <c r="F49" s="10" t="s">
        <v>492</v>
      </c>
      <c r="G49" s="10" t="s">
        <v>674</v>
      </c>
      <c r="H49" s="10" t="s">
        <v>642</v>
      </c>
      <c r="I49" s="4"/>
    </row>
    <row r="50" spans="1:9" ht="36" x14ac:dyDescent="0.25">
      <c r="A50" s="13" t="s">
        <v>493</v>
      </c>
      <c r="B50" s="13" t="s">
        <v>484</v>
      </c>
      <c r="C50" s="13" t="s">
        <v>494</v>
      </c>
      <c r="D50" s="13" t="s">
        <v>278</v>
      </c>
      <c r="E50" s="10" t="s">
        <v>495</v>
      </c>
      <c r="F50" s="10" t="s">
        <v>496</v>
      </c>
      <c r="G50" s="10" t="s">
        <v>674</v>
      </c>
      <c r="H50" s="10" t="s">
        <v>664</v>
      </c>
      <c r="I50" s="4"/>
    </row>
  </sheetData>
  <conditionalFormatting sqref="H2:H50">
    <cfRule type="cellIs" dxfId="3" priority="2" operator="equal">
      <formula>"Pass"</formula>
    </cfRule>
    <cfRule type="cellIs" dxfId="2" priority="3" operator="equal">
      <formula>"Fail"</formula>
    </cfRule>
    <cfRule type="cellIs" dxfId="1" priority="4" operator="equal">
      <formula>"Blocked"</formula>
    </cfRule>
    <cfRule type="cellIs" dxfId="0" priority="5" operator="equal">
      <formula>"N/A"</formula>
    </cfRule>
  </conditionalFormatting>
  <dataValidations count="1">
    <dataValidation type="list" allowBlank="1" sqref="H2:H50" xr:uid="{00000000-0002-0000-0500-000000000000}">
      <formula1>"Pass,Fail,Blocked,Not Run"</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2"/>
  <sheetViews>
    <sheetView zoomScaleNormal="100" workbookViewId="0">
      <selection activeCell="B30" sqref="B30"/>
    </sheetView>
  </sheetViews>
  <sheetFormatPr defaultColWidth="8.7109375" defaultRowHeight="15" x14ac:dyDescent="0.25"/>
  <cols>
    <col min="1" max="1" width="52" customWidth="1"/>
    <col min="2" max="2" width="40" customWidth="1"/>
    <col min="3" max="3" width="44" customWidth="1"/>
  </cols>
  <sheetData>
    <row r="1" spans="1:3" x14ac:dyDescent="0.25">
      <c r="A1" s="3" t="s">
        <v>497</v>
      </c>
      <c r="B1" s="3" t="s">
        <v>498</v>
      </c>
      <c r="C1" s="3" t="s">
        <v>499</v>
      </c>
    </row>
    <row r="2" spans="1:3" x14ac:dyDescent="0.25">
      <c r="A2" s="4" t="s">
        <v>500</v>
      </c>
      <c r="B2" s="4" t="s">
        <v>501</v>
      </c>
      <c r="C2" s="4" t="s">
        <v>502</v>
      </c>
    </row>
    <row r="3" spans="1:3" x14ac:dyDescent="0.25">
      <c r="A3" s="4" t="s">
        <v>503</v>
      </c>
      <c r="B3" s="4" t="s">
        <v>504</v>
      </c>
      <c r="C3" s="4" t="s">
        <v>505</v>
      </c>
    </row>
    <row r="4" spans="1:3" x14ac:dyDescent="0.25">
      <c r="A4" s="4" t="s">
        <v>506</v>
      </c>
      <c r="B4" s="4" t="s">
        <v>501</v>
      </c>
      <c r="C4" s="4" t="s">
        <v>502</v>
      </c>
    </row>
    <row r="5" spans="1:3" x14ac:dyDescent="0.25">
      <c r="A5" s="4" t="s">
        <v>507</v>
      </c>
      <c r="B5" s="4" t="s">
        <v>508</v>
      </c>
      <c r="C5" s="4" t="s">
        <v>509</v>
      </c>
    </row>
    <row r="6" spans="1:3" x14ac:dyDescent="0.25">
      <c r="A6" s="4" t="s">
        <v>510</v>
      </c>
      <c r="B6" s="4" t="s">
        <v>501</v>
      </c>
      <c r="C6" s="4" t="s">
        <v>502</v>
      </c>
    </row>
    <row r="7" spans="1:3" x14ac:dyDescent="0.25">
      <c r="A7" s="4" t="s">
        <v>511</v>
      </c>
      <c r="B7" s="4" t="s">
        <v>512</v>
      </c>
      <c r="C7" s="4" t="s">
        <v>513</v>
      </c>
    </row>
    <row r="8" spans="1:3" x14ac:dyDescent="0.25">
      <c r="A8" s="4" t="s">
        <v>514</v>
      </c>
      <c r="B8" s="4" t="s">
        <v>501</v>
      </c>
      <c r="C8" s="4" t="s">
        <v>515</v>
      </c>
    </row>
    <row r="9" spans="1:3" x14ac:dyDescent="0.25">
      <c r="A9" s="4" t="s">
        <v>516</v>
      </c>
      <c r="B9" s="4" t="s">
        <v>501</v>
      </c>
      <c r="C9" s="4" t="s">
        <v>502</v>
      </c>
    </row>
    <row r="10" spans="1:3" x14ac:dyDescent="0.25">
      <c r="A10" s="4" t="s">
        <v>517</v>
      </c>
      <c r="B10" s="4" t="s">
        <v>518</v>
      </c>
      <c r="C10" s="4" t="s">
        <v>509</v>
      </c>
    </row>
    <row r="11" spans="1:3" x14ac:dyDescent="0.25">
      <c r="A11" s="4" t="s">
        <v>519</v>
      </c>
      <c r="B11" s="4" t="s">
        <v>520</v>
      </c>
      <c r="C11" s="4" t="s">
        <v>521</v>
      </c>
    </row>
    <row r="12" spans="1:3" x14ac:dyDescent="0.25">
      <c r="A12" s="4" t="s">
        <v>522</v>
      </c>
      <c r="B12" s="4" t="s">
        <v>523</v>
      </c>
      <c r="C12" s="4"/>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534"/>
  <sheetViews>
    <sheetView tabSelected="1" topLeftCell="J1" zoomScale="175" zoomScaleNormal="175" workbookViewId="0">
      <pane ySplit="1" topLeftCell="A17" activePane="bottomLeft" state="frozen"/>
      <selection pane="bottomLeft" activeCell="J24" sqref="J24"/>
    </sheetView>
  </sheetViews>
  <sheetFormatPr defaultColWidth="8.7109375" defaultRowHeight="15" x14ac:dyDescent="0.25"/>
  <cols>
    <col min="1" max="1" width="10" customWidth="1"/>
    <col min="2" max="2" width="26" customWidth="1"/>
    <col min="3" max="3" width="13" customWidth="1"/>
    <col min="4" max="4" width="11" hidden="1" customWidth="1"/>
    <col min="5" max="5" width="50" hidden="1" customWidth="1"/>
    <col min="6" max="6" width="44" hidden="1" customWidth="1"/>
    <col min="7" max="7" width="10" hidden="1" customWidth="1"/>
    <col min="8" max="8" width="12" hidden="1" customWidth="1"/>
    <col min="9" max="9" width="14" hidden="1" customWidth="1"/>
    <col min="10" max="10" width="72.42578125" customWidth="1"/>
  </cols>
  <sheetData>
    <row r="1" spans="1:10" x14ac:dyDescent="0.25">
      <c r="A1" s="3" t="s">
        <v>524</v>
      </c>
      <c r="B1" s="3" t="s">
        <v>11</v>
      </c>
      <c r="C1" s="3" t="s">
        <v>45</v>
      </c>
      <c r="D1" s="3" t="s">
        <v>168</v>
      </c>
      <c r="E1" s="3" t="s">
        <v>525</v>
      </c>
      <c r="F1" s="3" t="s">
        <v>50</v>
      </c>
      <c r="G1" s="3" t="s">
        <v>526</v>
      </c>
      <c r="H1" s="3" t="s">
        <v>527</v>
      </c>
      <c r="I1" s="3" t="s">
        <v>528</v>
      </c>
      <c r="J1" s="3" t="s">
        <v>223</v>
      </c>
    </row>
    <row r="2" spans="1:10" x14ac:dyDescent="0.25">
      <c r="A2" s="4" t="s">
        <v>529</v>
      </c>
      <c r="B2" s="4" t="s">
        <v>648</v>
      </c>
      <c r="C2" s="4" t="s">
        <v>643</v>
      </c>
      <c r="D2" s="4"/>
      <c r="E2" s="4"/>
      <c r="F2" s="4"/>
      <c r="G2" s="4"/>
      <c r="H2" s="4"/>
      <c r="I2" s="4"/>
      <c r="J2" s="4" t="s">
        <v>644</v>
      </c>
    </row>
    <row r="3" spans="1:10" x14ac:dyDescent="0.25">
      <c r="A3" s="4" t="s">
        <v>530</v>
      </c>
      <c r="B3" s="4"/>
      <c r="C3" s="4" t="s">
        <v>645</v>
      </c>
      <c r="D3" s="4"/>
      <c r="E3" s="4"/>
      <c r="F3" s="4"/>
      <c r="G3" s="4"/>
      <c r="H3" s="4"/>
      <c r="I3" s="4"/>
      <c r="J3" s="4" t="s">
        <v>646</v>
      </c>
    </row>
    <row r="4" spans="1:10" x14ac:dyDescent="0.25">
      <c r="A4" s="4" t="s">
        <v>531</v>
      </c>
      <c r="B4" s="4" t="s">
        <v>18</v>
      </c>
      <c r="C4" s="4" t="s">
        <v>649</v>
      </c>
      <c r="D4" s="4"/>
      <c r="E4" s="4"/>
      <c r="F4" s="4"/>
      <c r="G4" s="4"/>
      <c r="H4" s="4"/>
      <c r="I4" s="4"/>
      <c r="J4" s="4" t="s">
        <v>650</v>
      </c>
    </row>
    <row r="5" spans="1:10" ht="25.5" x14ac:dyDescent="0.25">
      <c r="A5" s="4" t="s">
        <v>532</v>
      </c>
      <c r="B5" s="4"/>
      <c r="C5" s="4" t="s">
        <v>64</v>
      </c>
      <c r="D5" s="4"/>
      <c r="E5" s="4"/>
      <c r="F5" s="4"/>
      <c r="G5" s="4"/>
      <c r="H5" s="4"/>
      <c r="I5" s="4"/>
      <c r="J5" s="4" t="s">
        <v>657</v>
      </c>
    </row>
    <row r="6" spans="1:10" x14ac:dyDescent="0.25">
      <c r="A6" s="4" t="s">
        <v>533</v>
      </c>
      <c r="B6" s="4"/>
      <c r="C6" s="4" t="s">
        <v>651</v>
      </c>
      <c r="D6" s="4"/>
      <c r="E6" s="4"/>
      <c r="F6" s="4"/>
      <c r="G6" s="4"/>
      <c r="H6" s="4"/>
      <c r="I6" s="4"/>
      <c r="J6" s="4" t="s">
        <v>652</v>
      </c>
    </row>
    <row r="7" spans="1:10" x14ac:dyDescent="0.25">
      <c r="A7" s="4" t="s">
        <v>534</v>
      </c>
      <c r="B7" s="4"/>
      <c r="C7" s="4"/>
      <c r="D7" s="4"/>
      <c r="E7" s="4"/>
      <c r="F7" s="4"/>
      <c r="G7" s="4"/>
      <c r="H7" s="4"/>
      <c r="I7" s="4"/>
      <c r="J7" s="4"/>
    </row>
    <row r="8" spans="1:10" x14ac:dyDescent="0.25">
      <c r="A8" s="4" t="s">
        <v>535</v>
      </c>
      <c r="B8" s="4" t="s">
        <v>19</v>
      </c>
      <c r="C8" s="4" t="s">
        <v>59</v>
      </c>
      <c r="D8" s="4"/>
      <c r="E8" s="4"/>
      <c r="F8" s="4"/>
      <c r="G8" s="4"/>
      <c r="H8" s="4"/>
      <c r="I8" s="4"/>
      <c r="J8" s="4" t="s">
        <v>653</v>
      </c>
    </row>
    <row r="9" spans="1:10" x14ac:dyDescent="0.25">
      <c r="A9" s="4" t="s">
        <v>536</v>
      </c>
      <c r="B9" s="4"/>
      <c r="C9" s="4" t="s">
        <v>656</v>
      </c>
      <c r="D9" s="4"/>
      <c r="E9" s="4"/>
      <c r="F9" s="4"/>
      <c r="G9" s="4"/>
      <c r="H9" s="4"/>
      <c r="I9" s="4"/>
      <c r="J9" s="4" t="s">
        <v>654</v>
      </c>
    </row>
    <row r="10" spans="1:10" x14ac:dyDescent="0.25">
      <c r="A10" s="4" t="s">
        <v>537</v>
      </c>
      <c r="B10" s="4"/>
      <c r="C10" s="4" t="s">
        <v>655</v>
      </c>
      <c r="D10" s="4"/>
      <c r="E10" s="4"/>
      <c r="F10" s="4"/>
      <c r="G10" s="4"/>
      <c r="H10" s="4"/>
      <c r="I10" s="4"/>
      <c r="J10" s="4" t="s">
        <v>658</v>
      </c>
    </row>
    <row r="11" spans="1:10" x14ac:dyDescent="0.25">
      <c r="A11" s="4" t="s">
        <v>538</v>
      </c>
      <c r="B11" s="4"/>
      <c r="C11" s="4"/>
      <c r="D11" s="4"/>
      <c r="E11" s="4"/>
      <c r="F11" s="4"/>
      <c r="G11" s="4"/>
      <c r="H11" s="4"/>
      <c r="I11" s="4"/>
      <c r="J11" s="4"/>
    </row>
    <row r="12" spans="1:10" x14ac:dyDescent="0.25">
      <c r="A12" s="4" t="s">
        <v>539</v>
      </c>
      <c r="B12" s="4" t="s">
        <v>20</v>
      </c>
      <c r="C12" s="4" t="s">
        <v>59</v>
      </c>
      <c r="D12" s="4"/>
      <c r="E12" s="4"/>
      <c r="F12" s="4"/>
      <c r="G12" s="4"/>
      <c r="H12" s="4"/>
      <c r="I12" s="4"/>
      <c r="J12" s="4" t="s">
        <v>659</v>
      </c>
    </row>
    <row r="13" spans="1:10" ht="25.5" x14ac:dyDescent="0.25">
      <c r="A13" s="4" t="s">
        <v>540</v>
      </c>
      <c r="B13" s="4"/>
      <c r="C13" s="4" t="s">
        <v>64</v>
      </c>
      <c r="D13" s="4"/>
      <c r="E13" s="4"/>
      <c r="F13" s="4"/>
      <c r="G13" s="4"/>
      <c r="H13" s="4"/>
      <c r="I13" s="4"/>
      <c r="J13" s="4" t="s">
        <v>660</v>
      </c>
    </row>
    <row r="14" spans="1:10" x14ac:dyDescent="0.25">
      <c r="A14" s="4" t="s">
        <v>541</v>
      </c>
      <c r="B14" s="4"/>
      <c r="C14" s="4" t="s">
        <v>97</v>
      </c>
      <c r="D14" s="4"/>
      <c r="E14" s="4"/>
      <c r="F14" s="4"/>
      <c r="G14" s="4"/>
      <c r="H14" s="4"/>
      <c r="I14" s="4"/>
      <c r="J14" s="4" t="s">
        <v>661</v>
      </c>
    </row>
    <row r="15" spans="1:10" x14ac:dyDescent="0.25">
      <c r="A15" s="4" t="s">
        <v>542</v>
      </c>
      <c r="B15" s="4"/>
      <c r="C15" s="4" t="s">
        <v>662</v>
      </c>
      <c r="D15" s="4"/>
      <c r="E15" s="4"/>
      <c r="F15" s="4"/>
      <c r="G15" s="4"/>
      <c r="H15" s="4"/>
      <c r="I15" s="4"/>
      <c r="J15" s="4" t="s">
        <v>663</v>
      </c>
    </row>
    <row r="16" spans="1:10" x14ac:dyDescent="0.25">
      <c r="A16" s="4" t="s">
        <v>543</v>
      </c>
      <c r="B16" s="4"/>
      <c r="C16" s="4" t="s">
        <v>105</v>
      </c>
      <c r="D16" s="4"/>
      <c r="E16" s="4"/>
      <c r="F16" s="4"/>
      <c r="G16" s="4"/>
      <c r="H16" s="4"/>
      <c r="I16" s="4"/>
      <c r="J16" s="4" t="s">
        <v>665</v>
      </c>
    </row>
    <row r="17" spans="1:11" x14ac:dyDescent="0.25">
      <c r="A17" s="4" t="s">
        <v>544</v>
      </c>
      <c r="B17" s="4"/>
      <c r="C17" s="4" t="s">
        <v>656</v>
      </c>
      <c r="D17" s="4"/>
      <c r="E17" s="4"/>
      <c r="F17" s="4"/>
      <c r="G17" s="4"/>
      <c r="H17" s="4"/>
      <c r="I17" s="4"/>
      <c r="J17" s="4" t="s">
        <v>666</v>
      </c>
    </row>
    <row r="18" spans="1:11" x14ac:dyDescent="0.25">
      <c r="A18" s="4" t="s">
        <v>545</v>
      </c>
      <c r="B18" s="4"/>
      <c r="C18" s="4" t="s">
        <v>667</v>
      </c>
      <c r="D18" s="4"/>
      <c r="E18" s="4"/>
      <c r="F18" s="4"/>
      <c r="G18" s="4"/>
      <c r="H18" s="4"/>
      <c r="I18" s="4"/>
      <c r="J18" s="4" t="s">
        <v>668</v>
      </c>
      <c r="K18" t="s">
        <v>669</v>
      </c>
    </row>
    <row r="19" spans="1:11" x14ac:dyDescent="0.25">
      <c r="A19" s="4" t="s">
        <v>546</v>
      </c>
      <c r="B19" s="4"/>
      <c r="C19" s="4"/>
      <c r="D19" s="4"/>
      <c r="E19" s="4"/>
      <c r="F19" s="4"/>
      <c r="G19" s="4"/>
      <c r="H19" s="4"/>
      <c r="I19" s="4"/>
      <c r="J19" s="4"/>
    </row>
    <row r="20" spans="1:11" x14ac:dyDescent="0.25">
      <c r="A20" s="4" t="s">
        <v>547</v>
      </c>
      <c r="B20" s="4" t="s">
        <v>670</v>
      </c>
      <c r="C20" s="4" t="s">
        <v>161</v>
      </c>
      <c r="D20" s="4"/>
      <c r="E20" s="4"/>
      <c r="F20" s="4"/>
      <c r="G20" s="4"/>
      <c r="H20" s="4"/>
      <c r="I20" s="4"/>
      <c r="J20" s="4" t="s">
        <v>672</v>
      </c>
    </row>
    <row r="21" spans="1:11" x14ac:dyDescent="0.25">
      <c r="A21" s="4" t="s">
        <v>548</v>
      </c>
      <c r="B21" s="4"/>
      <c r="C21" s="4" t="s">
        <v>671</v>
      </c>
      <c r="D21" s="4"/>
      <c r="E21" s="4"/>
      <c r="F21" s="4"/>
      <c r="G21" s="4"/>
      <c r="H21" s="4"/>
      <c r="I21" s="4"/>
      <c r="J21" s="4" t="s">
        <v>673</v>
      </c>
    </row>
    <row r="22" spans="1:11" x14ac:dyDescent="0.25">
      <c r="A22" s="4" t="s">
        <v>549</v>
      </c>
      <c r="B22" s="4"/>
      <c r="C22" s="4" t="s">
        <v>667</v>
      </c>
      <c r="D22" s="4"/>
      <c r="E22" s="4"/>
      <c r="F22" s="4"/>
      <c r="G22" s="4"/>
      <c r="H22" s="4"/>
      <c r="I22" s="4"/>
      <c r="J22" s="4"/>
    </row>
    <row r="23" spans="1:11" x14ac:dyDescent="0.25">
      <c r="A23" s="4" t="s">
        <v>550</v>
      </c>
      <c r="B23" s="4"/>
      <c r="C23" s="4"/>
      <c r="D23" s="4"/>
      <c r="E23" s="4"/>
      <c r="F23" s="4"/>
      <c r="G23" s="4"/>
      <c r="H23" s="4"/>
      <c r="I23" s="4"/>
      <c r="J23" s="4"/>
    </row>
    <row r="24" spans="1:11" x14ac:dyDescent="0.25">
      <c r="A24" s="4" t="s">
        <v>551</v>
      </c>
      <c r="B24" s="4" t="s">
        <v>680</v>
      </c>
      <c r="C24" s="4" t="s">
        <v>2137</v>
      </c>
      <c r="D24" s="4"/>
      <c r="E24" s="4"/>
      <c r="F24" s="4"/>
      <c r="G24" s="4"/>
      <c r="H24" s="4"/>
      <c r="I24" s="4"/>
      <c r="J24" s="4" t="s">
        <v>2138</v>
      </c>
    </row>
    <row r="25" spans="1:11" x14ac:dyDescent="0.25">
      <c r="A25" s="4" t="s">
        <v>552</v>
      </c>
      <c r="B25" s="4"/>
      <c r="C25" s="4" t="s">
        <v>64</v>
      </c>
      <c r="D25" s="4"/>
      <c r="E25" s="4"/>
      <c r="F25" s="4"/>
      <c r="G25" s="4"/>
      <c r="H25" s="4"/>
      <c r="I25" s="4"/>
      <c r="J25" s="4" t="s">
        <v>2114</v>
      </c>
    </row>
    <row r="26" spans="1:11" x14ac:dyDescent="0.25">
      <c r="A26" s="4" t="s">
        <v>553</v>
      </c>
      <c r="B26" s="4"/>
      <c r="C26" s="4" t="s">
        <v>2115</v>
      </c>
      <c r="D26" s="4"/>
      <c r="E26" s="4"/>
      <c r="F26" s="4"/>
      <c r="G26" s="4"/>
      <c r="H26" s="4"/>
      <c r="I26" s="4"/>
      <c r="J26" s="4" t="s">
        <v>2116</v>
      </c>
    </row>
    <row r="27" spans="1:11" x14ac:dyDescent="0.25">
      <c r="A27" s="4" t="s">
        <v>554</v>
      </c>
      <c r="B27" s="4"/>
      <c r="C27" s="4"/>
      <c r="D27" s="4"/>
      <c r="E27" s="4"/>
      <c r="F27" s="4"/>
      <c r="G27" s="4"/>
      <c r="H27" s="4"/>
      <c r="I27" s="4"/>
      <c r="J27" s="4"/>
    </row>
    <row r="28" spans="1:11" x14ac:dyDescent="0.25">
      <c r="A28" s="4" t="s">
        <v>555</v>
      </c>
      <c r="B28" s="15" t="s">
        <v>2117</v>
      </c>
      <c r="C28" s="15" t="s">
        <v>2118</v>
      </c>
      <c r="D28" s="4"/>
      <c r="E28" s="4"/>
      <c r="F28" s="4"/>
      <c r="G28" s="4"/>
      <c r="H28" s="4"/>
      <c r="I28" s="4"/>
      <c r="J28" s="15" t="s">
        <v>2119</v>
      </c>
    </row>
    <row r="29" spans="1:11" x14ac:dyDescent="0.25">
      <c r="A29" s="4" t="s">
        <v>556</v>
      </c>
      <c r="B29" s="4"/>
      <c r="C29" s="15" t="s">
        <v>651</v>
      </c>
      <c r="D29" s="4"/>
      <c r="E29" s="4"/>
      <c r="F29" s="4"/>
      <c r="G29" s="4"/>
      <c r="H29" s="4"/>
      <c r="I29" s="4"/>
      <c r="J29" s="15" t="s">
        <v>2120</v>
      </c>
    </row>
    <row r="30" spans="1:11" x14ac:dyDescent="0.25">
      <c r="A30" s="4" t="s">
        <v>557</v>
      </c>
      <c r="B30" s="4"/>
      <c r="C30" s="15" t="s">
        <v>2121</v>
      </c>
      <c r="D30" s="4"/>
      <c r="E30" s="4"/>
      <c r="F30" s="4"/>
      <c r="G30" s="4"/>
      <c r="H30" s="4"/>
      <c r="I30" s="4"/>
      <c r="J30" s="15" t="s">
        <v>2122</v>
      </c>
    </row>
    <row r="31" spans="1:11" x14ac:dyDescent="0.25">
      <c r="A31" s="4" t="s">
        <v>558</v>
      </c>
      <c r="B31" s="4" t="s">
        <v>28</v>
      </c>
      <c r="C31" s="4"/>
      <c r="D31" s="4"/>
      <c r="E31" s="4"/>
      <c r="F31" s="4"/>
      <c r="G31" s="4"/>
      <c r="H31" s="4"/>
      <c r="I31" s="4"/>
      <c r="J31" s="4"/>
    </row>
    <row r="32" spans="1:11" ht="25.5" x14ac:dyDescent="0.25">
      <c r="A32" s="4" t="s">
        <v>559</v>
      </c>
      <c r="B32" s="4"/>
      <c r="C32" s="4" t="s">
        <v>2124</v>
      </c>
      <c r="D32" s="4" t="s">
        <v>2123</v>
      </c>
      <c r="E32" s="4" t="s">
        <v>2123</v>
      </c>
      <c r="F32" s="4" t="s">
        <v>2123</v>
      </c>
      <c r="G32" s="4" t="s">
        <v>2123</v>
      </c>
      <c r="H32" s="4" t="s">
        <v>2123</v>
      </c>
      <c r="I32" s="4" t="s">
        <v>2123</v>
      </c>
      <c r="J32" s="4" t="s">
        <v>2123</v>
      </c>
      <c r="K32" s="4"/>
    </row>
    <row r="33" spans="1:10" x14ac:dyDescent="0.25">
      <c r="A33" s="4" t="s">
        <v>560</v>
      </c>
      <c r="B33" s="4"/>
      <c r="C33" s="4"/>
      <c r="D33" s="4"/>
      <c r="E33" s="4"/>
      <c r="F33" s="4"/>
      <c r="G33" s="4"/>
      <c r="H33" s="4"/>
      <c r="I33" s="4"/>
      <c r="J33" s="4"/>
    </row>
    <row r="34" spans="1:10" x14ac:dyDescent="0.25">
      <c r="A34" s="4" t="s">
        <v>561</v>
      </c>
      <c r="B34" s="4"/>
      <c r="C34" s="4"/>
      <c r="D34" s="4"/>
      <c r="E34" s="4"/>
      <c r="F34" s="4"/>
      <c r="G34" s="4"/>
      <c r="H34" s="4"/>
      <c r="I34" s="4"/>
      <c r="J34" s="4"/>
    </row>
    <row r="35" spans="1:10" x14ac:dyDescent="0.25">
      <c r="A35" s="4" t="s">
        <v>562</v>
      </c>
      <c r="B35" s="4" t="s">
        <v>2125</v>
      </c>
      <c r="C35" s="4" t="s">
        <v>2126</v>
      </c>
      <c r="D35" s="4"/>
      <c r="E35" s="4"/>
      <c r="F35" s="4"/>
      <c r="G35" s="4"/>
      <c r="H35" s="4"/>
      <c r="I35" s="4"/>
      <c r="J35" s="4" t="s">
        <v>2127</v>
      </c>
    </row>
    <row r="36" spans="1:10" x14ac:dyDescent="0.25">
      <c r="A36" s="4" t="s">
        <v>563</v>
      </c>
      <c r="B36" s="4"/>
      <c r="C36" s="4" t="s">
        <v>2128</v>
      </c>
      <c r="D36" s="4"/>
      <c r="E36" s="4"/>
      <c r="F36" s="4"/>
      <c r="G36" s="4"/>
      <c r="H36" s="4"/>
      <c r="I36" s="4"/>
      <c r="J36" s="4" t="s">
        <v>2129</v>
      </c>
    </row>
    <row r="37" spans="1:10" x14ac:dyDescent="0.25">
      <c r="A37" s="4" t="s">
        <v>564</v>
      </c>
      <c r="B37" s="4"/>
      <c r="C37" s="4" t="s">
        <v>656</v>
      </c>
      <c r="D37" s="4"/>
      <c r="E37" s="4"/>
      <c r="F37" s="4"/>
      <c r="G37" s="4"/>
      <c r="H37" s="4"/>
      <c r="I37" s="4"/>
      <c r="J37" s="4" t="s">
        <v>2132</v>
      </c>
    </row>
    <row r="38" spans="1:10" x14ac:dyDescent="0.25">
      <c r="A38" s="4" t="s">
        <v>565</v>
      </c>
      <c r="B38" s="4"/>
      <c r="C38" s="4" t="s">
        <v>2130</v>
      </c>
      <c r="D38" s="4"/>
      <c r="E38" s="4"/>
      <c r="F38" s="4"/>
      <c r="G38" s="4"/>
      <c r="H38" s="4"/>
      <c r="I38" s="4"/>
      <c r="J38" s="4" t="s">
        <v>2133</v>
      </c>
    </row>
    <row r="39" spans="1:10" x14ac:dyDescent="0.25">
      <c r="A39" s="4" t="s">
        <v>566</v>
      </c>
      <c r="B39" s="4"/>
      <c r="C39" s="4" t="s">
        <v>2131</v>
      </c>
      <c r="D39" s="4"/>
      <c r="E39" s="4"/>
      <c r="F39" s="4"/>
      <c r="G39" s="4"/>
      <c r="H39" s="4"/>
      <c r="I39" s="4"/>
      <c r="J39" s="4"/>
    </row>
    <row r="40" spans="1:10" x14ac:dyDescent="0.25">
      <c r="A40" s="4" t="s">
        <v>567</v>
      </c>
      <c r="B40" s="4"/>
      <c r="C40" s="4"/>
      <c r="D40" s="4"/>
      <c r="E40" s="4"/>
      <c r="F40" s="4"/>
      <c r="G40" s="4"/>
      <c r="H40" s="4"/>
      <c r="I40" s="4"/>
      <c r="J40" s="4"/>
    </row>
    <row r="41" spans="1:10" x14ac:dyDescent="0.25">
      <c r="A41" s="4" t="s">
        <v>568</v>
      </c>
      <c r="B41" s="4" t="s">
        <v>2134</v>
      </c>
      <c r="C41" s="4"/>
      <c r="D41" s="4"/>
      <c r="E41" s="4"/>
      <c r="F41" s="4"/>
      <c r="G41" s="4"/>
      <c r="H41" s="4"/>
      <c r="I41" s="4"/>
      <c r="J41" s="4"/>
    </row>
    <row r="42" spans="1:10" x14ac:dyDescent="0.25">
      <c r="A42" s="4" t="s">
        <v>569</v>
      </c>
      <c r="B42" s="4"/>
      <c r="C42" s="4" t="s">
        <v>2121</v>
      </c>
      <c r="D42" s="4"/>
      <c r="E42" s="4"/>
      <c r="F42" s="4"/>
      <c r="G42" s="4"/>
      <c r="H42" s="4"/>
      <c r="I42" s="4"/>
      <c r="J42" s="4" t="s">
        <v>2135</v>
      </c>
    </row>
    <row r="43" spans="1:10" x14ac:dyDescent="0.25">
      <c r="A43" s="4" t="s">
        <v>570</v>
      </c>
      <c r="B43" s="4"/>
      <c r="C43" s="4" t="s">
        <v>656</v>
      </c>
      <c r="D43" s="4"/>
      <c r="E43" s="4"/>
      <c r="F43" s="4"/>
      <c r="G43" s="4"/>
      <c r="H43" s="4"/>
      <c r="I43" s="4"/>
      <c r="J43" s="4" t="s">
        <v>2136</v>
      </c>
    </row>
    <row r="44" spans="1:10" x14ac:dyDescent="0.25">
      <c r="A44" s="4" t="s">
        <v>571</v>
      </c>
      <c r="B44" s="4"/>
      <c r="C44" s="4"/>
      <c r="D44" s="4"/>
      <c r="E44" s="4"/>
      <c r="F44" s="4"/>
      <c r="G44" s="4"/>
      <c r="H44" s="4"/>
      <c r="I44" s="4"/>
      <c r="J44" s="4"/>
    </row>
    <row r="45" spans="1:10" x14ac:dyDescent="0.25">
      <c r="A45" s="4" t="s">
        <v>572</v>
      </c>
      <c r="B45" s="4"/>
      <c r="C45" s="4"/>
      <c r="D45" s="4"/>
      <c r="E45" s="4"/>
      <c r="F45" s="4"/>
      <c r="G45" s="4"/>
      <c r="H45" s="4"/>
      <c r="I45" s="4"/>
      <c r="J45" s="4"/>
    </row>
    <row r="46" spans="1:10" x14ac:dyDescent="0.25">
      <c r="A46" s="4" t="s">
        <v>573</v>
      </c>
      <c r="B46" s="4"/>
      <c r="C46" s="4"/>
      <c r="D46" s="4"/>
      <c r="E46" s="4"/>
      <c r="F46" s="4"/>
      <c r="G46" s="4"/>
      <c r="H46" s="4"/>
      <c r="I46" s="4"/>
      <c r="J46" s="4"/>
    </row>
    <row r="47" spans="1:10" x14ac:dyDescent="0.25">
      <c r="A47" s="4" t="s">
        <v>574</v>
      </c>
      <c r="B47" s="4"/>
      <c r="C47" s="4"/>
      <c r="D47" s="4"/>
      <c r="E47" s="4"/>
      <c r="F47" s="4"/>
      <c r="G47" s="4"/>
      <c r="H47" s="4"/>
      <c r="I47" s="4"/>
      <c r="J47" s="4"/>
    </row>
    <row r="48" spans="1:10" x14ac:dyDescent="0.25">
      <c r="A48" s="4" t="s">
        <v>575</v>
      </c>
      <c r="B48" s="4"/>
      <c r="C48" s="4"/>
      <c r="D48" s="4"/>
      <c r="E48" s="4"/>
      <c r="F48" s="4"/>
      <c r="G48" s="4"/>
      <c r="H48" s="4"/>
      <c r="I48" s="4"/>
      <c r="J48" s="4"/>
    </row>
    <row r="49" spans="1:10" x14ac:dyDescent="0.25">
      <c r="A49" s="4" t="s">
        <v>576</v>
      </c>
      <c r="B49" s="4"/>
      <c r="C49" s="4"/>
      <c r="D49" s="4"/>
      <c r="E49" s="4"/>
      <c r="F49" s="4"/>
      <c r="G49" s="4"/>
      <c r="H49" s="4"/>
      <c r="I49" s="4"/>
      <c r="J49" s="4"/>
    </row>
    <row r="50" spans="1:10" x14ac:dyDescent="0.25">
      <c r="A50" s="4" t="s">
        <v>577</v>
      </c>
      <c r="B50" s="4"/>
      <c r="C50" s="4"/>
      <c r="D50" s="4"/>
      <c r="E50" s="4"/>
      <c r="F50" s="4"/>
      <c r="G50" s="4"/>
      <c r="H50" s="4"/>
      <c r="I50" s="4"/>
      <c r="J50" s="4"/>
    </row>
    <row r="51" spans="1:10" x14ac:dyDescent="0.25">
      <c r="A51" s="4" t="s">
        <v>578</v>
      </c>
      <c r="B51" s="4"/>
      <c r="C51" s="4"/>
      <c r="D51" s="4"/>
      <c r="E51" s="4"/>
      <c r="F51" s="4"/>
      <c r="G51" s="4"/>
      <c r="H51" s="4"/>
      <c r="I51" s="4"/>
      <c r="J51" s="4"/>
    </row>
    <row r="52" spans="1:10" x14ac:dyDescent="0.25">
      <c r="A52" s="4" t="s">
        <v>579</v>
      </c>
      <c r="B52" s="4"/>
      <c r="C52" s="4"/>
      <c r="D52" s="4"/>
      <c r="E52" s="4"/>
      <c r="F52" s="4"/>
      <c r="G52" s="4"/>
      <c r="H52" s="4"/>
      <c r="I52" s="4"/>
      <c r="J52" s="4"/>
    </row>
    <row r="53" spans="1:10" x14ac:dyDescent="0.25">
      <c r="A53" s="4" t="s">
        <v>580</v>
      </c>
      <c r="B53" s="4"/>
      <c r="C53" s="4"/>
      <c r="D53" s="4"/>
      <c r="E53" s="4"/>
      <c r="F53" s="4"/>
      <c r="G53" s="4"/>
      <c r="H53" s="4"/>
      <c r="I53" s="4"/>
      <c r="J53" s="4"/>
    </row>
    <row r="54" spans="1:10" x14ac:dyDescent="0.25">
      <c r="A54" s="4" t="s">
        <v>581</v>
      </c>
      <c r="B54" s="4"/>
      <c r="C54" s="4"/>
      <c r="D54" s="4"/>
      <c r="E54" s="4"/>
      <c r="F54" s="4"/>
      <c r="G54" s="4"/>
      <c r="H54" s="4"/>
      <c r="I54" s="4"/>
      <c r="J54" s="4"/>
    </row>
    <row r="55" spans="1:10" x14ac:dyDescent="0.25">
      <c r="A55" s="4" t="s">
        <v>582</v>
      </c>
      <c r="B55" s="4"/>
      <c r="C55" s="4"/>
      <c r="D55" s="4"/>
      <c r="E55" s="4"/>
      <c r="F55" s="4"/>
      <c r="G55" s="4"/>
      <c r="H55" s="4"/>
      <c r="I55" s="4"/>
      <c r="J55" s="4"/>
    </row>
    <row r="56" spans="1:10" x14ac:dyDescent="0.25">
      <c r="A56" s="4" t="s">
        <v>583</v>
      </c>
      <c r="B56" s="4"/>
      <c r="C56" s="4"/>
      <c r="D56" s="4"/>
      <c r="E56" s="4"/>
      <c r="F56" s="4"/>
      <c r="G56" s="4"/>
      <c r="H56" s="4"/>
      <c r="I56" s="4"/>
      <c r="J56" s="4"/>
    </row>
    <row r="57" spans="1:10" x14ac:dyDescent="0.25">
      <c r="A57" s="4" t="s">
        <v>584</v>
      </c>
      <c r="B57" s="4"/>
      <c r="C57" s="4"/>
      <c r="D57" s="4"/>
      <c r="E57" s="4"/>
      <c r="F57" s="4"/>
      <c r="G57" s="4"/>
      <c r="H57" s="4"/>
      <c r="I57" s="4"/>
      <c r="J57" s="4"/>
    </row>
    <row r="58" spans="1:10" x14ac:dyDescent="0.25">
      <c r="A58" s="4" t="s">
        <v>585</v>
      </c>
      <c r="B58" s="4"/>
      <c r="C58" s="4"/>
      <c r="D58" s="4"/>
      <c r="E58" s="4"/>
      <c r="F58" s="4"/>
      <c r="G58" s="4"/>
      <c r="H58" s="4"/>
      <c r="I58" s="4"/>
      <c r="J58" s="4"/>
    </row>
    <row r="59" spans="1:10" x14ac:dyDescent="0.25">
      <c r="A59" s="4" t="s">
        <v>586</v>
      </c>
      <c r="B59" s="4"/>
      <c r="C59" s="4"/>
      <c r="D59" s="4"/>
      <c r="E59" s="4"/>
      <c r="F59" s="4"/>
      <c r="G59" s="4"/>
      <c r="H59" s="4"/>
      <c r="I59" s="4"/>
      <c r="J59" s="4"/>
    </row>
    <row r="60" spans="1:10" x14ac:dyDescent="0.25">
      <c r="A60" s="4" t="s">
        <v>587</v>
      </c>
      <c r="B60" s="4"/>
      <c r="C60" s="4"/>
      <c r="D60" s="4"/>
      <c r="E60" s="4"/>
      <c r="F60" s="4"/>
      <c r="G60" s="4"/>
      <c r="H60" s="4"/>
      <c r="I60" s="4"/>
      <c r="J60" s="4"/>
    </row>
    <row r="61" spans="1:10" x14ac:dyDescent="0.25">
      <c r="A61" s="4" t="s">
        <v>588</v>
      </c>
      <c r="B61" s="4"/>
      <c r="C61" s="4"/>
      <c r="D61" s="4"/>
      <c r="E61" s="4"/>
      <c r="F61" s="4"/>
      <c r="G61" s="4"/>
      <c r="H61" s="4"/>
      <c r="I61" s="4"/>
      <c r="J61" s="4"/>
    </row>
    <row r="62" spans="1:10" x14ac:dyDescent="0.25">
      <c r="A62" s="4" t="s">
        <v>589</v>
      </c>
      <c r="B62" s="4"/>
      <c r="C62" s="4"/>
      <c r="D62" s="4"/>
      <c r="E62" s="4"/>
      <c r="F62" s="4"/>
      <c r="G62" s="4"/>
      <c r="H62" s="4"/>
      <c r="I62" s="4"/>
      <c r="J62" s="4"/>
    </row>
    <row r="63" spans="1:10" x14ac:dyDescent="0.25">
      <c r="A63" s="4" t="s">
        <v>590</v>
      </c>
      <c r="B63" s="4"/>
      <c r="C63" s="4"/>
      <c r="D63" s="4"/>
      <c r="E63" s="4"/>
      <c r="F63" s="4"/>
      <c r="G63" s="4"/>
      <c r="H63" s="4"/>
      <c r="I63" s="4"/>
      <c r="J63" s="4"/>
    </row>
    <row r="64" spans="1:10" x14ac:dyDescent="0.25">
      <c r="A64" s="4" t="s">
        <v>591</v>
      </c>
      <c r="B64" s="4"/>
      <c r="C64" s="4"/>
      <c r="D64" s="4"/>
      <c r="E64" s="4"/>
      <c r="F64" s="4"/>
      <c r="G64" s="4"/>
      <c r="H64" s="4"/>
      <c r="I64" s="4"/>
      <c r="J64" s="4"/>
    </row>
    <row r="65" spans="1:10" x14ac:dyDescent="0.25">
      <c r="A65" s="4" t="s">
        <v>592</v>
      </c>
      <c r="B65" s="4"/>
      <c r="C65" s="4"/>
      <c r="D65" s="4"/>
      <c r="E65" s="4"/>
      <c r="F65" s="4"/>
      <c r="G65" s="4"/>
      <c r="H65" s="4"/>
      <c r="I65" s="4"/>
      <c r="J65" s="4"/>
    </row>
    <row r="66" spans="1:10" x14ac:dyDescent="0.25">
      <c r="A66" s="4" t="s">
        <v>593</v>
      </c>
      <c r="B66" s="4"/>
      <c r="C66" s="4"/>
      <c r="D66" s="4"/>
      <c r="E66" s="4"/>
      <c r="F66" s="4"/>
      <c r="G66" s="4"/>
      <c r="H66" s="4"/>
      <c r="I66" s="4"/>
      <c r="J66" s="4"/>
    </row>
    <row r="67" spans="1:10" x14ac:dyDescent="0.25">
      <c r="A67" s="4" t="s">
        <v>594</v>
      </c>
      <c r="B67" s="4"/>
      <c r="C67" s="4"/>
      <c r="D67" s="4"/>
      <c r="E67" s="4"/>
      <c r="F67" s="4"/>
      <c r="G67" s="4"/>
      <c r="H67" s="4"/>
      <c r="I67" s="4"/>
      <c r="J67" s="4"/>
    </row>
    <row r="68" spans="1:10" x14ac:dyDescent="0.25">
      <c r="A68" s="4" t="s">
        <v>595</v>
      </c>
      <c r="B68" s="4"/>
      <c r="C68" s="4"/>
      <c r="D68" s="4"/>
      <c r="E68" s="4"/>
      <c r="F68" s="4"/>
      <c r="G68" s="4"/>
      <c r="H68" s="4"/>
      <c r="I68" s="4"/>
      <c r="J68" s="4"/>
    </row>
    <row r="69" spans="1:10" x14ac:dyDescent="0.25">
      <c r="A69" s="4" t="s">
        <v>596</v>
      </c>
      <c r="B69" s="4"/>
      <c r="C69" s="4"/>
      <c r="D69" s="4"/>
      <c r="E69" s="4"/>
      <c r="F69" s="4"/>
      <c r="G69" s="4"/>
      <c r="H69" s="4"/>
      <c r="I69" s="4"/>
      <c r="J69" s="4"/>
    </row>
    <row r="70" spans="1:10" x14ac:dyDescent="0.25">
      <c r="A70" s="4" t="s">
        <v>597</v>
      </c>
      <c r="B70" s="4"/>
      <c r="C70" s="4"/>
      <c r="D70" s="4"/>
      <c r="E70" s="4"/>
      <c r="F70" s="4"/>
      <c r="G70" s="4"/>
      <c r="H70" s="4"/>
      <c r="I70" s="4"/>
      <c r="J70" s="4"/>
    </row>
    <row r="71" spans="1:10" x14ac:dyDescent="0.25">
      <c r="A71" s="4" t="s">
        <v>598</v>
      </c>
      <c r="B71" s="4"/>
      <c r="C71" s="4"/>
      <c r="D71" s="4"/>
      <c r="E71" s="4"/>
      <c r="F71" s="4"/>
      <c r="G71" s="4"/>
      <c r="H71" s="4"/>
      <c r="I71" s="4"/>
      <c r="J71" s="4"/>
    </row>
    <row r="72" spans="1:10" x14ac:dyDescent="0.25">
      <c r="A72" s="4" t="s">
        <v>599</v>
      </c>
      <c r="B72" s="4"/>
      <c r="C72" s="4"/>
      <c r="D72" s="4"/>
      <c r="E72" s="4"/>
      <c r="F72" s="4"/>
      <c r="G72" s="4"/>
      <c r="H72" s="4"/>
      <c r="I72" s="4"/>
      <c r="J72" s="4"/>
    </row>
    <row r="73" spans="1:10" x14ac:dyDescent="0.25">
      <c r="A73" s="4" t="s">
        <v>600</v>
      </c>
      <c r="B73" s="4"/>
      <c r="C73" s="4"/>
      <c r="D73" s="4"/>
      <c r="E73" s="4"/>
      <c r="F73" s="4"/>
      <c r="G73" s="4"/>
      <c r="H73" s="4"/>
      <c r="I73" s="4"/>
      <c r="J73" s="4"/>
    </row>
    <row r="74" spans="1:10" x14ac:dyDescent="0.25">
      <c r="A74" s="4" t="s">
        <v>601</v>
      </c>
      <c r="B74" s="4"/>
      <c r="C74" s="4"/>
      <c r="D74" s="4"/>
      <c r="E74" s="4"/>
      <c r="F74" s="4"/>
      <c r="G74" s="4"/>
      <c r="H74" s="4"/>
      <c r="I74" s="4"/>
      <c r="J74" s="4"/>
    </row>
    <row r="75" spans="1:10" x14ac:dyDescent="0.25">
      <c r="A75" s="4" t="s">
        <v>602</v>
      </c>
      <c r="B75" s="4"/>
      <c r="C75" s="4"/>
      <c r="D75" s="4"/>
      <c r="E75" s="4"/>
      <c r="F75" s="4"/>
      <c r="G75" s="4"/>
      <c r="H75" s="4"/>
      <c r="I75" s="4"/>
      <c r="J75" s="4"/>
    </row>
    <row r="76" spans="1:10" x14ac:dyDescent="0.25">
      <c r="A76" s="4" t="s">
        <v>603</v>
      </c>
      <c r="B76" s="4"/>
      <c r="C76" s="4"/>
      <c r="D76" s="4"/>
      <c r="E76" s="4"/>
      <c r="F76" s="4"/>
      <c r="G76" s="4"/>
      <c r="H76" s="4"/>
      <c r="I76" s="4"/>
      <c r="J76" s="4"/>
    </row>
    <row r="77" spans="1:10" x14ac:dyDescent="0.25">
      <c r="A77" s="4" t="s">
        <v>604</v>
      </c>
      <c r="B77" s="4"/>
      <c r="C77" s="4"/>
      <c r="D77" s="4"/>
      <c r="E77" s="4"/>
      <c r="F77" s="4"/>
      <c r="G77" s="4"/>
      <c r="H77" s="4"/>
      <c r="I77" s="4"/>
      <c r="J77" s="4"/>
    </row>
    <row r="78" spans="1:10" x14ac:dyDescent="0.25">
      <c r="A78" s="4" t="s">
        <v>605</v>
      </c>
      <c r="B78" s="4"/>
      <c r="C78" s="4"/>
      <c r="D78" s="4"/>
      <c r="E78" s="4"/>
      <c r="F78" s="4"/>
      <c r="G78" s="4"/>
      <c r="H78" s="4"/>
      <c r="I78" s="4"/>
      <c r="J78" s="4"/>
    </row>
    <row r="79" spans="1:10" x14ac:dyDescent="0.25">
      <c r="A79" s="4" t="s">
        <v>606</v>
      </c>
      <c r="B79" s="4"/>
      <c r="C79" s="4"/>
      <c r="D79" s="4"/>
      <c r="E79" s="4"/>
      <c r="F79" s="4"/>
      <c r="G79" s="4"/>
      <c r="H79" s="4"/>
      <c r="I79" s="4"/>
      <c r="J79" s="4"/>
    </row>
    <row r="80" spans="1:10" x14ac:dyDescent="0.25">
      <c r="A80" s="4" t="s">
        <v>607</v>
      </c>
      <c r="B80" s="4"/>
      <c r="C80" s="4"/>
      <c r="D80" s="4"/>
      <c r="E80" s="4"/>
      <c r="F80" s="4"/>
      <c r="G80" s="4"/>
      <c r="H80" s="4"/>
      <c r="I80" s="4"/>
      <c r="J80" s="4"/>
    </row>
    <row r="81" spans="1:10" x14ac:dyDescent="0.25">
      <c r="A81" s="4" t="s">
        <v>608</v>
      </c>
      <c r="B81" s="4"/>
      <c r="C81" s="4"/>
      <c r="D81" s="4"/>
      <c r="E81" s="4"/>
      <c r="F81" s="4"/>
      <c r="G81" s="4"/>
      <c r="H81" s="4"/>
      <c r="I81" s="4"/>
      <c r="J81" s="4"/>
    </row>
    <row r="82" spans="1:10" x14ac:dyDescent="0.25">
      <c r="A82" s="4" t="s">
        <v>609</v>
      </c>
      <c r="B82" s="4"/>
      <c r="C82" s="4"/>
      <c r="D82" s="4"/>
      <c r="E82" s="4"/>
      <c r="F82" s="4"/>
      <c r="G82" s="4"/>
      <c r="H82" s="4"/>
      <c r="I82" s="4"/>
      <c r="J82" s="4"/>
    </row>
    <row r="83" spans="1:10" x14ac:dyDescent="0.25">
      <c r="A83" s="4" t="s">
        <v>610</v>
      </c>
      <c r="B83" s="4"/>
      <c r="C83" s="4"/>
      <c r="D83" s="4"/>
      <c r="E83" s="4"/>
      <c r="F83" s="4"/>
      <c r="G83" s="4"/>
      <c r="H83" s="4"/>
      <c r="I83" s="4"/>
      <c r="J83" s="4"/>
    </row>
    <row r="84" spans="1:10" x14ac:dyDescent="0.25">
      <c r="A84" s="4" t="s">
        <v>611</v>
      </c>
      <c r="B84" s="4"/>
      <c r="C84" s="4"/>
      <c r="D84" s="4"/>
      <c r="E84" s="4"/>
      <c r="F84" s="4"/>
      <c r="G84" s="4"/>
      <c r="H84" s="4"/>
      <c r="I84" s="4"/>
      <c r="J84" s="4"/>
    </row>
    <row r="85" spans="1:10" x14ac:dyDescent="0.25">
      <c r="A85" s="4" t="s">
        <v>612</v>
      </c>
      <c r="B85" s="4"/>
      <c r="C85" s="4"/>
      <c r="D85" s="4"/>
      <c r="E85" s="4"/>
      <c r="F85" s="4"/>
      <c r="G85" s="4"/>
      <c r="H85" s="4"/>
      <c r="I85" s="4"/>
      <c r="J85" s="4"/>
    </row>
    <row r="86" spans="1:10" x14ac:dyDescent="0.25">
      <c r="A86" s="4" t="s">
        <v>613</v>
      </c>
      <c r="B86" s="4"/>
      <c r="C86" s="4"/>
      <c r="D86" s="4"/>
      <c r="E86" s="4"/>
      <c r="F86" s="4"/>
      <c r="G86" s="4"/>
      <c r="H86" s="4"/>
      <c r="I86" s="4"/>
      <c r="J86" s="4"/>
    </row>
    <row r="87" spans="1:10" x14ac:dyDescent="0.25">
      <c r="A87" s="4" t="s">
        <v>614</v>
      </c>
      <c r="B87" s="4"/>
      <c r="C87" s="4"/>
      <c r="D87" s="4"/>
      <c r="E87" s="4"/>
      <c r="F87" s="4"/>
      <c r="G87" s="4"/>
      <c r="H87" s="4"/>
      <c r="I87" s="4"/>
      <c r="J87" s="4"/>
    </row>
    <row r="88" spans="1:10" x14ac:dyDescent="0.25">
      <c r="A88" s="4" t="s">
        <v>615</v>
      </c>
      <c r="B88" s="4"/>
      <c r="C88" s="4"/>
      <c r="D88" s="4"/>
      <c r="E88" s="4"/>
      <c r="F88" s="4"/>
      <c r="G88" s="4"/>
      <c r="H88" s="4"/>
      <c r="I88" s="4"/>
      <c r="J88" s="4"/>
    </row>
    <row r="89" spans="1:10" x14ac:dyDescent="0.25">
      <c r="A89" s="4" t="s">
        <v>616</v>
      </c>
      <c r="B89" s="4"/>
      <c r="C89" s="4"/>
      <c r="D89" s="4"/>
      <c r="E89" s="4"/>
      <c r="F89" s="4"/>
      <c r="G89" s="4"/>
      <c r="H89" s="4"/>
      <c r="I89" s="4"/>
      <c r="J89" s="4"/>
    </row>
    <row r="90" spans="1:10" x14ac:dyDescent="0.25">
      <c r="A90" s="4" t="s">
        <v>617</v>
      </c>
      <c r="B90" s="4"/>
      <c r="C90" s="4"/>
      <c r="D90" s="4"/>
      <c r="E90" s="4"/>
      <c r="F90" s="4"/>
      <c r="G90" s="4"/>
      <c r="H90" s="4"/>
      <c r="I90" s="4"/>
      <c r="J90" s="4"/>
    </row>
    <row r="91" spans="1:10" x14ac:dyDescent="0.25">
      <c r="A91" s="4" t="s">
        <v>618</v>
      </c>
      <c r="B91" s="4"/>
      <c r="C91" s="4"/>
      <c r="D91" s="4"/>
      <c r="E91" s="4"/>
      <c r="F91" s="4"/>
      <c r="G91" s="4"/>
      <c r="H91" s="4"/>
      <c r="I91" s="4"/>
      <c r="J91" s="4"/>
    </row>
    <row r="92" spans="1:10" x14ac:dyDescent="0.25">
      <c r="A92" s="4" t="s">
        <v>619</v>
      </c>
      <c r="B92" s="4"/>
      <c r="C92" s="4"/>
      <c r="D92" s="4"/>
      <c r="E92" s="4"/>
      <c r="F92" s="4"/>
      <c r="G92" s="4"/>
      <c r="H92" s="4"/>
      <c r="I92" s="4"/>
      <c r="J92" s="4"/>
    </row>
    <row r="93" spans="1:10" x14ac:dyDescent="0.25">
      <c r="A93" s="4" t="s">
        <v>620</v>
      </c>
      <c r="B93" s="4"/>
      <c r="C93" s="4"/>
      <c r="D93" s="4"/>
      <c r="E93" s="4"/>
      <c r="F93" s="4"/>
      <c r="G93" s="4"/>
      <c r="H93" s="4"/>
      <c r="I93" s="4"/>
      <c r="J93" s="4"/>
    </row>
    <row r="94" spans="1:10" x14ac:dyDescent="0.25">
      <c r="A94" s="4" t="s">
        <v>621</v>
      </c>
      <c r="B94" s="4"/>
      <c r="C94" s="4"/>
      <c r="D94" s="4"/>
      <c r="E94" s="4"/>
      <c r="F94" s="4"/>
      <c r="G94" s="4"/>
      <c r="H94" s="4"/>
      <c r="I94" s="4"/>
      <c r="J94" s="4"/>
    </row>
    <row r="95" spans="1:10" x14ac:dyDescent="0.25">
      <c r="A95" s="4" t="s">
        <v>622</v>
      </c>
      <c r="B95" s="4"/>
      <c r="C95" s="4"/>
      <c r="D95" s="4"/>
      <c r="E95" s="4"/>
      <c r="F95" s="4"/>
      <c r="G95" s="4"/>
      <c r="H95" s="4"/>
      <c r="I95" s="4"/>
      <c r="J95" s="4"/>
    </row>
    <row r="96" spans="1:10" x14ac:dyDescent="0.25">
      <c r="A96" s="4" t="s">
        <v>623</v>
      </c>
      <c r="B96" s="4"/>
      <c r="C96" s="4"/>
      <c r="D96" s="4"/>
      <c r="E96" s="4"/>
      <c r="F96" s="4"/>
      <c r="G96" s="4"/>
      <c r="H96" s="4"/>
      <c r="I96" s="4"/>
      <c r="J96" s="4"/>
    </row>
    <row r="97" spans="1:10" x14ac:dyDescent="0.25">
      <c r="A97" s="4" t="s">
        <v>624</v>
      </c>
      <c r="B97" s="4"/>
      <c r="C97" s="4"/>
      <c r="D97" s="4"/>
      <c r="E97" s="4"/>
      <c r="F97" s="4"/>
      <c r="G97" s="4"/>
      <c r="H97" s="4"/>
      <c r="I97" s="4"/>
      <c r="J97" s="4"/>
    </row>
    <row r="98" spans="1:10" x14ac:dyDescent="0.25">
      <c r="A98" s="4" t="s">
        <v>625</v>
      </c>
      <c r="B98" s="4"/>
      <c r="C98" s="4"/>
      <c r="D98" s="4"/>
      <c r="E98" s="4"/>
      <c r="F98" s="4"/>
      <c r="G98" s="4"/>
      <c r="H98" s="4"/>
      <c r="I98" s="4"/>
      <c r="J98" s="4"/>
    </row>
    <row r="99" spans="1:10" x14ac:dyDescent="0.25">
      <c r="A99" s="4" t="s">
        <v>626</v>
      </c>
      <c r="B99" s="4"/>
      <c r="C99" s="4"/>
      <c r="D99" s="4"/>
      <c r="E99" s="4"/>
      <c r="F99" s="4"/>
      <c r="G99" s="4"/>
      <c r="H99" s="4"/>
      <c r="I99" s="4"/>
      <c r="J99" s="4"/>
    </row>
    <row r="100" spans="1:10" x14ac:dyDescent="0.25">
      <c r="A100" s="4" t="s">
        <v>627</v>
      </c>
      <c r="B100" s="4"/>
      <c r="C100" s="4"/>
      <c r="D100" s="4"/>
      <c r="E100" s="4"/>
      <c r="F100" s="4"/>
      <c r="G100" s="4"/>
      <c r="H100" s="4"/>
      <c r="I100" s="4"/>
      <c r="J100" s="4"/>
    </row>
    <row r="101" spans="1:10" x14ac:dyDescent="0.25">
      <c r="A101" s="4" t="s">
        <v>628</v>
      </c>
      <c r="B101" s="4"/>
      <c r="C101" s="4"/>
      <c r="D101" s="4"/>
      <c r="E101" s="4"/>
      <c r="F101" s="4"/>
      <c r="G101" s="4"/>
      <c r="H101" s="4"/>
      <c r="I101" s="4"/>
      <c r="J101" s="4"/>
    </row>
    <row r="102" spans="1:10" x14ac:dyDescent="0.25">
      <c r="A102" s="4" t="s">
        <v>681</v>
      </c>
    </row>
    <row r="103" spans="1:10" x14ac:dyDescent="0.25">
      <c r="A103" s="4" t="s">
        <v>682</v>
      </c>
    </row>
    <row r="104" spans="1:10" x14ac:dyDescent="0.25">
      <c r="A104" s="4" t="s">
        <v>683</v>
      </c>
    </row>
    <row r="105" spans="1:10" x14ac:dyDescent="0.25">
      <c r="A105" s="4" t="s">
        <v>684</v>
      </c>
    </row>
    <row r="106" spans="1:10" x14ac:dyDescent="0.25">
      <c r="A106" s="4" t="s">
        <v>685</v>
      </c>
    </row>
    <row r="107" spans="1:10" x14ac:dyDescent="0.25">
      <c r="A107" s="4" t="s">
        <v>686</v>
      </c>
    </row>
    <row r="108" spans="1:10" x14ac:dyDescent="0.25">
      <c r="A108" s="4" t="s">
        <v>687</v>
      </c>
    </row>
    <row r="109" spans="1:10" x14ac:dyDescent="0.25">
      <c r="A109" s="4" t="s">
        <v>688</v>
      </c>
    </row>
    <row r="110" spans="1:10" x14ac:dyDescent="0.25">
      <c r="A110" s="4" t="s">
        <v>689</v>
      </c>
    </row>
    <row r="111" spans="1:10" x14ac:dyDescent="0.25">
      <c r="A111" s="4" t="s">
        <v>690</v>
      </c>
    </row>
    <row r="112" spans="1:10" x14ac:dyDescent="0.25">
      <c r="A112" s="4" t="s">
        <v>691</v>
      </c>
    </row>
    <row r="113" spans="1:1" x14ac:dyDescent="0.25">
      <c r="A113" s="4" t="s">
        <v>692</v>
      </c>
    </row>
    <row r="114" spans="1:1" x14ac:dyDescent="0.25">
      <c r="A114" s="4" t="s">
        <v>693</v>
      </c>
    </row>
    <row r="115" spans="1:1" x14ac:dyDescent="0.25">
      <c r="A115" s="4" t="s">
        <v>694</v>
      </c>
    </row>
    <row r="116" spans="1:1" x14ac:dyDescent="0.25">
      <c r="A116" s="4" t="s">
        <v>695</v>
      </c>
    </row>
    <row r="117" spans="1:1" x14ac:dyDescent="0.25">
      <c r="A117" s="4" t="s">
        <v>696</v>
      </c>
    </row>
    <row r="118" spans="1:1" x14ac:dyDescent="0.25">
      <c r="A118" s="4" t="s">
        <v>697</v>
      </c>
    </row>
    <row r="119" spans="1:1" x14ac:dyDescent="0.25">
      <c r="A119" s="4" t="s">
        <v>698</v>
      </c>
    </row>
    <row r="120" spans="1:1" x14ac:dyDescent="0.25">
      <c r="A120" s="4" t="s">
        <v>699</v>
      </c>
    </row>
    <row r="121" spans="1:1" x14ac:dyDescent="0.25">
      <c r="A121" s="4" t="s">
        <v>700</v>
      </c>
    </row>
    <row r="122" spans="1:1" x14ac:dyDescent="0.25">
      <c r="A122" s="4" t="s">
        <v>701</v>
      </c>
    </row>
    <row r="123" spans="1:1" x14ac:dyDescent="0.25">
      <c r="A123" s="4" t="s">
        <v>702</v>
      </c>
    </row>
    <row r="124" spans="1:1" x14ac:dyDescent="0.25">
      <c r="A124" s="4" t="s">
        <v>703</v>
      </c>
    </row>
    <row r="125" spans="1:1" x14ac:dyDescent="0.25">
      <c r="A125" s="4" t="s">
        <v>704</v>
      </c>
    </row>
    <row r="126" spans="1:1" x14ac:dyDescent="0.25">
      <c r="A126" s="4" t="s">
        <v>705</v>
      </c>
    </row>
    <row r="127" spans="1:1" x14ac:dyDescent="0.25">
      <c r="A127" s="4" t="s">
        <v>706</v>
      </c>
    </row>
    <row r="128" spans="1:1" x14ac:dyDescent="0.25">
      <c r="A128" s="4" t="s">
        <v>707</v>
      </c>
    </row>
    <row r="129" spans="1:1" x14ac:dyDescent="0.25">
      <c r="A129" s="4" t="s">
        <v>708</v>
      </c>
    </row>
    <row r="130" spans="1:1" x14ac:dyDescent="0.25">
      <c r="A130" s="4" t="s">
        <v>709</v>
      </c>
    </row>
    <row r="131" spans="1:1" x14ac:dyDescent="0.25">
      <c r="A131" s="4" t="s">
        <v>710</v>
      </c>
    </row>
    <row r="132" spans="1:1" x14ac:dyDescent="0.25">
      <c r="A132" s="4" t="s">
        <v>711</v>
      </c>
    </row>
    <row r="133" spans="1:1" x14ac:dyDescent="0.25">
      <c r="A133" s="4" t="s">
        <v>712</v>
      </c>
    </row>
    <row r="134" spans="1:1" x14ac:dyDescent="0.25">
      <c r="A134" s="4" t="s">
        <v>713</v>
      </c>
    </row>
    <row r="135" spans="1:1" x14ac:dyDescent="0.25">
      <c r="A135" s="4" t="s">
        <v>714</v>
      </c>
    </row>
    <row r="136" spans="1:1" x14ac:dyDescent="0.25">
      <c r="A136" s="4" t="s">
        <v>715</v>
      </c>
    </row>
    <row r="137" spans="1:1" x14ac:dyDescent="0.25">
      <c r="A137" s="4" t="s">
        <v>716</v>
      </c>
    </row>
    <row r="138" spans="1:1" x14ac:dyDescent="0.25">
      <c r="A138" s="4" t="s">
        <v>717</v>
      </c>
    </row>
    <row r="139" spans="1:1" x14ac:dyDescent="0.25">
      <c r="A139" s="4" t="s">
        <v>718</v>
      </c>
    </row>
    <row r="140" spans="1:1" x14ac:dyDescent="0.25">
      <c r="A140" s="4" t="s">
        <v>719</v>
      </c>
    </row>
    <row r="141" spans="1:1" x14ac:dyDescent="0.25">
      <c r="A141" s="4" t="s">
        <v>720</v>
      </c>
    </row>
    <row r="142" spans="1:1" x14ac:dyDescent="0.25">
      <c r="A142" s="4" t="s">
        <v>721</v>
      </c>
    </row>
    <row r="143" spans="1:1" x14ac:dyDescent="0.25">
      <c r="A143" s="4" t="s">
        <v>722</v>
      </c>
    </row>
    <row r="144" spans="1:1" x14ac:dyDescent="0.25">
      <c r="A144" s="4" t="s">
        <v>723</v>
      </c>
    </row>
    <row r="145" spans="1:1" x14ac:dyDescent="0.25">
      <c r="A145" s="4" t="s">
        <v>724</v>
      </c>
    </row>
    <row r="146" spans="1:1" x14ac:dyDescent="0.25">
      <c r="A146" s="4" t="s">
        <v>725</v>
      </c>
    </row>
    <row r="147" spans="1:1" x14ac:dyDescent="0.25">
      <c r="A147" s="4" t="s">
        <v>726</v>
      </c>
    </row>
    <row r="148" spans="1:1" x14ac:dyDescent="0.25">
      <c r="A148" s="4" t="s">
        <v>727</v>
      </c>
    </row>
    <row r="149" spans="1:1" x14ac:dyDescent="0.25">
      <c r="A149" s="4" t="s">
        <v>728</v>
      </c>
    </row>
    <row r="150" spans="1:1" x14ac:dyDescent="0.25">
      <c r="A150" s="4" t="s">
        <v>729</v>
      </c>
    </row>
    <row r="151" spans="1:1" x14ac:dyDescent="0.25">
      <c r="A151" s="4" t="s">
        <v>730</v>
      </c>
    </row>
    <row r="152" spans="1:1" x14ac:dyDescent="0.25">
      <c r="A152" s="4" t="s">
        <v>731</v>
      </c>
    </row>
    <row r="153" spans="1:1" x14ac:dyDescent="0.25">
      <c r="A153" s="4" t="s">
        <v>732</v>
      </c>
    </row>
    <row r="154" spans="1:1" x14ac:dyDescent="0.25">
      <c r="A154" s="4" t="s">
        <v>733</v>
      </c>
    </row>
    <row r="155" spans="1:1" x14ac:dyDescent="0.25">
      <c r="A155" s="4" t="s">
        <v>734</v>
      </c>
    </row>
    <row r="156" spans="1:1" x14ac:dyDescent="0.25">
      <c r="A156" s="4" t="s">
        <v>735</v>
      </c>
    </row>
    <row r="157" spans="1:1" x14ac:dyDescent="0.25">
      <c r="A157" s="4" t="s">
        <v>736</v>
      </c>
    </row>
    <row r="158" spans="1:1" x14ac:dyDescent="0.25">
      <c r="A158" s="4" t="s">
        <v>737</v>
      </c>
    </row>
    <row r="159" spans="1:1" x14ac:dyDescent="0.25">
      <c r="A159" s="4" t="s">
        <v>738</v>
      </c>
    </row>
    <row r="160" spans="1:1" x14ac:dyDescent="0.25">
      <c r="A160" s="4" t="s">
        <v>739</v>
      </c>
    </row>
    <row r="161" spans="1:1" x14ac:dyDescent="0.25">
      <c r="A161" s="4" t="s">
        <v>740</v>
      </c>
    </row>
    <row r="162" spans="1:1" x14ac:dyDescent="0.25">
      <c r="A162" s="4" t="s">
        <v>741</v>
      </c>
    </row>
    <row r="163" spans="1:1" x14ac:dyDescent="0.25">
      <c r="A163" s="4" t="s">
        <v>742</v>
      </c>
    </row>
    <row r="164" spans="1:1" x14ac:dyDescent="0.25">
      <c r="A164" s="4" t="s">
        <v>743</v>
      </c>
    </row>
    <row r="165" spans="1:1" x14ac:dyDescent="0.25">
      <c r="A165" s="4" t="s">
        <v>744</v>
      </c>
    </row>
    <row r="166" spans="1:1" x14ac:dyDescent="0.25">
      <c r="A166" s="4" t="s">
        <v>745</v>
      </c>
    </row>
    <row r="167" spans="1:1" x14ac:dyDescent="0.25">
      <c r="A167" s="4" t="s">
        <v>746</v>
      </c>
    </row>
    <row r="168" spans="1:1" x14ac:dyDescent="0.25">
      <c r="A168" s="4" t="s">
        <v>747</v>
      </c>
    </row>
    <row r="169" spans="1:1" x14ac:dyDescent="0.25">
      <c r="A169" s="4" t="s">
        <v>748</v>
      </c>
    </row>
    <row r="170" spans="1:1" x14ac:dyDescent="0.25">
      <c r="A170" s="4" t="s">
        <v>749</v>
      </c>
    </row>
    <row r="171" spans="1:1" x14ac:dyDescent="0.25">
      <c r="A171" s="4" t="s">
        <v>750</v>
      </c>
    </row>
    <row r="172" spans="1:1" x14ac:dyDescent="0.25">
      <c r="A172" s="4" t="s">
        <v>751</v>
      </c>
    </row>
    <row r="173" spans="1:1" x14ac:dyDescent="0.25">
      <c r="A173" s="4" t="s">
        <v>752</v>
      </c>
    </row>
    <row r="174" spans="1:1" x14ac:dyDescent="0.25">
      <c r="A174" s="4" t="s">
        <v>753</v>
      </c>
    </row>
    <row r="175" spans="1:1" x14ac:dyDescent="0.25">
      <c r="A175" s="4" t="s">
        <v>754</v>
      </c>
    </row>
    <row r="176" spans="1:1" x14ac:dyDescent="0.25">
      <c r="A176" s="4" t="s">
        <v>755</v>
      </c>
    </row>
    <row r="177" spans="1:1" x14ac:dyDescent="0.25">
      <c r="A177" s="4" t="s">
        <v>756</v>
      </c>
    </row>
    <row r="178" spans="1:1" x14ac:dyDescent="0.25">
      <c r="A178" s="4" t="s">
        <v>757</v>
      </c>
    </row>
    <row r="179" spans="1:1" x14ac:dyDescent="0.25">
      <c r="A179" s="4" t="s">
        <v>758</v>
      </c>
    </row>
    <row r="180" spans="1:1" x14ac:dyDescent="0.25">
      <c r="A180" s="4" t="s">
        <v>759</v>
      </c>
    </row>
    <row r="181" spans="1:1" x14ac:dyDescent="0.25">
      <c r="A181" s="4" t="s">
        <v>760</v>
      </c>
    </row>
    <row r="182" spans="1:1" x14ac:dyDescent="0.25">
      <c r="A182" s="4" t="s">
        <v>761</v>
      </c>
    </row>
    <row r="183" spans="1:1" x14ac:dyDescent="0.25">
      <c r="A183" s="4" t="s">
        <v>762</v>
      </c>
    </row>
    <row r="184" spans="1:1" x14ac:dyDescent="0.25">
      <c r="A184" s="4" t="s">
        <v>763</v>
      </c>
    </row>
    <row r="185" spans="1:1" x14ac:dyDescent="0.25">
      <c r="A185" s="4" t="s">
        <v>764</v>
      </c>
    </row>
    <row r="186" spans="1:1" x14ac:dyDescent="0.25">
      <c r="A186" s="4" t="s">
        <v>765</v>
      </c>
    </row>
    <row r="187" spans="1:1" x14ac:dyDescent="0.25">
      <c r="A187" s="4" t="s">
        <v>766</v>
      </c>
    </row>
    <row r="188" spans="1:1" x14ac:dyDescent="0.25">
      <c r="A188" s="4" t="s">
        <v>767</v>
      </c>
    </row>
    <row r="189" spans="1:1" x14ac:dyDescent="0.25">
      <c r="A189" s="4" t="s">
        <v>768</v>
      </c>
    </row>
    <row r="190" spans="1:1" x14ac:dyDescent="0.25">
      <c r="A190" s="4" t="s">
        <v>769</v>
      </c>
    </row>
    <row r="191" spans="1:1" x14ac:dyDescent="0.25">
      <c r="A191" s="4" t="s">
        <v>770</v>
      </c>
    </row>
    <row r="192" spans="1:1" x14ac:dyDescent="0.25">
      <c r="A192" s="4" t="s">
        <v>771</v>
      </c>
    </row>
    <row r="193" spans="1:1" x14ac:dyDescent="0.25">
      <c r="A193" s="4" t="s">
        <v>772</v>
      </c>
    </row>
    <row r="194" spans="1:1" x14ac:dyDescent="0.25">
      <c r="A194" s="4" t="s">
        <v>773</v>
      </c>
    </row>
    <row r="195" spans="1:1" x14ac:dyDescent="0.25">
      <c r="A195" s="4" t="s">
        <v>774</v>
      </c>
    </row>
    <row r="196" spans="1:1" x14ac:dyDescent="0.25">
      <c r="A196" s="4" t="s">
        <v>775</v>
      </c>
    </row>
    <row r="197" spans="1:1" x14ac:dyDescent="0.25">
      <c r="A197" s="4" t="s">
        <v>776</v>
      </c>
    </row>
    <row r="198" spans="1:1" x14ac:dyDescent="0.25">
      <c r="A198" s="4" t="s">
        <v>777</v>
      </c>
    </row>
    <row r="199" spans="1:1" x14ac:dyDescent="0.25">
      <c r="A199" s="4" t="s">
        <v>778</v>
      </c>
    </row>
    <row r="200" spans="1:1" x14ac:dyDescent="0.25">
      <c r="A200" s="4" t="s">
        <v>779</v>
      </c>
    </row>
    <row r="201" spans="1:1" x14ac:dyDescent="0.25">
      <c r="A201" s="4" t="s">
        <v>780</v>
      </c>
    </row>
    <row r="202" spans="1:1" x14ac:dyDescent="0.25">
      <c r="A202" s="4" t="s">
        <v>781</v>
      </c>
    </row>
    <row r="203" spans="1:1" x14ac:dyDescent="0.25">
      <c r="A203" s="4" t="s">
        <v>782</v>
      </c>
    </row>
    <row r="204" spans="1:1" x14ac:dyDescent="0.25">
      <c r="A204" s="4" t="s">
        <v>783</v>
      </c>
    </row>
    <row r="205" spans="1:1" x14ac:dyDescent="0.25">
      <c r="A205" s="4" t="s">
        <v>784</v>
      </c>
    </row>
    <row r="206" spans="1:1" x14ac:dyDescent="0.25">
      <c r="A206" s="4" t="s">
        <v>785</v>
      </c>
    </row>
    <row r="207" spans="1:1" x14ac:dyDescent="0.25">
      <c r="A207" s="4" t="s">
        <v>786</v>
      </c>
    </row>
    <row r="208" spans="1:1" x14ac:dyDescent="0.25">
      <c r="A208" s="4" t="s">
        <v>787</v>
      </c>
    </row>
    <row r="209" spans="1:1" x14ac:dyDescent="0.25">
      <c r="A209" s="4" t="s">
        <v>788</v>
      </c>
    </row>
    <row r="210" spans="1:1" x14ac:dyDescent="0.25">
      <c r="A210" s="4" t="s">
        <v>789</v>
      </c>
    </row>
    <row r="211" spans="1:1" x14ac:dyDescent="0.25">
      <c r="A211" s="4" t="s">
        <v>790</v>
      </c>
    </row>
    <row r="212" spans="1:1" x14ac:dyDescent="0.25">
      <c r="A212" s="4" t="s">
        <v>791</v>
      </c>
    </row>
    <row r="213" spans="1:1" x14ac:dyDescent="0.25">
      <c r="A213" s="4" t="s">
        <v>792</v>
      </c>
    </row>
    <row r="214" spans="1:1" x14ac:dyDescent="0.25">
      <c r="A214" s="4" t="s">
        <v>793</v>
      </c>
    </row>
    <row r="215" spans="1:1" x14ac:dyDescent="0.25">
      <c r="A215" s="4" t="s">
        <v>794</v>
      </c>
    </row>
    <row r="216" spans="1:1" x14ac:dyDescent="0.25">
      <c r="A216" s="4" t="s">
        <v>795</v>
      </c>
    </row>
    <row r="217" spans="1:1" x14ac:dyDescent="0.25">
      <c r="A217" s="4" t="s">
        <v>796</v>
      </c>
    </row>
    <row r="218" spans="1:1" x14ac:dyDescent="0.25">
      <c r="A218" s="4" t="s">
        <v>797</v>
      </c>
    </row>
    <row r="219" spans="1:1" x14ac:dyDescent="0.25">
      <c r="A219" s="4" t="s">
        <v>798</v>
      </c>
    </row>
    <row r="220" spans="1:1" x14ac:dyDescent="0.25">
      <c r="A220" s="4" t="s">
        <v>799</v>
      </c>
    </row>
    <row r="221" spans="1:1" x14ac:dyDescent="0.25">
      <c r="A221" s="4" t="s">
        <v>800</v>
      </c>
    </row>
    <row r="222" spans="1:1" x14ac:dyDescent="0.25">
      <c r="A222" s="4" t="s">
        <v>801</v>
      </c>
    </row>
    <row r="223" spans="1:1" x14ac:dyDescent="0.25">
      <c r="A223" s="4" t="s">
        <v>802</v>
      </c>
    </row>
    <row r="224" spans="1:1" x14ac:dyDescent="0.25">
      <c r="A224" s="4" t="s">
        <v>803</v>
      </c>
    </row>
    <row r="225" spans="1:1" x14ac:dyDescent="0.25">
      <c r="A225" s="4" t="s">
        <v>804</v>
      </c>
    </row>
    <row r="226" spans="1:1" x14ac:dyDescent="0.25">
      <c r="A226" s="4" t="s">
        <v>805</v>
      </c>
    </row>
    <row r="227" spans="1:1" x14ac:dyDescent="0.25">
      <c r="A227" s="4" t="s">
        <v>806</v>
      </c>
    </row>
    <row r="228" spans="1:1" x14ac:dyDescent="0.25">
      <c r="A228" s="4" t="s">
        <v>807</v>
      </c>
    </row>
    <row r="229" spans="1:1" x14ac:dyDescent="0.25">
      <c r="A229" s="4" t="s">
        <v>808</v>
      </c>
    </row>
    <row r="230" spans="1:1" x14ac:dyDescent="0.25">
      <c r="A230" s="4" t="s">
        <v>809</v>
      </c>
    </row>
    <row r="231" spans="1:1" x14ac:dyDescent="0.25">
      <c r="A231" s="4" t="s">
        <v>810</v>
      </c>
    </row>
    <row r="232" spans="1:1" x14ac:dyDescent="0.25">
      <c r="A232" s="4" t="s">
        <v>811</v>
      </c>
    </row>
    <row r="233" spans="1:1" x14ac:dyDescent="0.25">
      <c r="A233" s="4" t="s">
        <v>812</v>
      </c>
    </row>
    <row r="234" spans="1:1" x14ac:dyDescent="0.25">
      <c r="A234" s="4" t="s">
        <v>813</v>
      </c>
    </row>
    <row r="235" spans="1:1" x14ac:dyDescent="0.25">
      <c r="A235" s="4" t="s">
        <v>814</v>
      </c>
    </row>
    <row r="236" spans="1:1" x14ac:dyDescent="0.25">
      <c r="A236" s="4" t="s">
        <v>815</v>
      </c>
    </row>
    <row r="237" spans="1:1" x14ac:dyDescent="0.25">
      <c r="A237" s="4" t="s">
        <v>816</v>
      </c>
    </row>
    <row r="238" spans="1:1" x14ac:dyDescent="0.25">
      <c r="A238" s="4" t="s">
        <v>817</v>
      </c>
    </row>
    <row r="239" spans="1:1" x14ac:dyDescent="0.25">
      <c r="A239" s="4" t="s">
        <v>818</v>
      </c>
    </row>
    <row r="240" spans="1:1" x14ac:dyDescent="0.25">
      <c r="A240" s="4" t="s">
        <v>819</v>
      </c>
    </row>
    <row r="241" spans="1:1" x14ac:dyDescent="0.25">
      <c r="A241" s="4" t="s">
        <v>820</v>
      </c>
    </row>
    <row r="242" spans="1:1" x14ac:dyDescent="0.25">
      <c r="A242" s="4" t="s">
        <v>821</v>
      </c>
    </row>
    <row r="243" spans="1:1" x14ac:dyDescent="0.25">
      <c r="A243" s="4" t="s">
        <v>822</v>
      </c>
    </row>
    <row r="244" spans="1:1" x14ac:dyDescent="0.25">
      <c r="A244" s="4" t="s">
        <v>823</v>
      </c>
    </row>
    <row r="245" spans="1:1" x14ac:dyDescent="0.25">
      <c r="A245" s="4" t="s">
        <v>824</v>
      </c>
    </row>
    <row r="246" spans="1:1" x14ac:dyDescent="0.25">
      <c r="A246" s="4" t="s">
        <v>825</v>
      </c>
    </row>
    <row r="247" spans="1:1" x14ac:dyDescent="0.25">
      <c r="A247" s="4" t="s">
        <v>826</v>
      </c>
    </row>
    <row r="248" spans="1:1" x14ac:dyDescent="0.25">
      <c r="A248" s="4" t="s">
        <v>827</v>
      </c>
    </row>
    <row r="249" spans="1:1" x14ac:dyDescent="0.25">
      <c r="A249" s="4" t="s">
        <v>828</v>
      </c>
    </row>
    <row r="250" spans="1:1" x14ac:dyDescent="0.25">
      <c r="A250" s="4" t="s">
        <v>829</v>
      </c>
    </row>
    <row r="251" spans="1:1" x14ac:dyDescent="0.25">
      <c r="A251" s="4" t="s">
        <v>830</v>
      </c>
    </row>
    <row r="252" spans="1:1" x14ac:dyDescent="0.25">
      <c r="A252" s="4" t="s">
        <v>831</v>
      </c>
    </row>
    <row r="253" spans="1:1" x14ac:dyDescent="0.25">
      <c r="A253" s="4" t="s">
        <v>832</v>
      </c>
    </row>
    <row r="254" spans="1:1" x14ac:dyDescent="0.25">
      <c r="A254" s="4" t="s">
        <v>833</v>
      </c>
    </row>
    <row r="255" spans="1:1" x14ac:dyDescent="0.25">
      <c r="A255" s="4" t="s">
        <v>834</v>
      </c>
    </row>
    <row r="256" spans="1:1" x14ac:dyDescent="0.25">
      <c r="A256" s="4" t="s">
        <v>835</v>
      </c>
    </row>
    <row r="257" spans="1:1" x14ac:dyDescent="0.25">
      <c r="A257" s="4" t="s">
        <v>836</v>
      </c>
    </row>
    <row r="258" spans="1:1" x14ac:dyDescent="0.25">
      <c r="A258" s="4" t="s">
        <v>837</v>
      </c>
    </row>
    <row r="259" spans="1:1" x14ac:dyDescent="0.25">
      <c r="A259" s="4" t="s">
        <v>838</v>
      </c>
    </row>
    <row r="260" spans="1:1" x14ac:dyDescent="0.25">
      <c r="A260" s="4" t="s">
        <v>839</v>
      </c>
    </row>
    <row r="261" spans="1:1" x14ac:dyDescent="0.25">
      <c r="A261" s="4" t="s">
        <v>840</v>
      </c>
    </row>
    <row r="262" spans="1:1" x14ac:dyDescent="0.25">
      <c r="A262" s="4" t="s">
        <v>841</v>
      </c>
    </row>
    <row r="263" spans="1:1" x14ac:dyDescent="0.25">
      <c r="A263" s="4" t="s">
        <v>842</v>
      </c>
    </row>
    <row r="264" spans="1:1" x14ac:dyDescent="0.25">
      <c r="A264" s="4" t="s">
        <v>843</v>
      </c>
    </row>
    <row r="265" spans="1:1" x14ac:dyDescent="0.25">
      <c r="A265" s="4" t="s">
        <v>844</v>
      </c>
    </row>
    <row r="266" spans="1:1" x14ac:dyDescent="0.25">
      <c r="A266" s="4" t="s">
        <v>845</v>
      </c>
    </row>
    <row r="267" spans="1:1" x14ac:dyDescent="0.25">
      <c r="A267" s="4" t="s">
        <v>846</v>
      </c>
    </row>
    <row r="268" spans="1:1" x14ac:dyDescent="0.25">
      <c r="A268" s="4" t="s">
        <v>847</v>
      </c>
    </row>
    <row r="269" spans="1:1" x14ac:dyDescent="0.25">
      <c r="A269" s="4" t="s">
        <v>848</v>
      </c>
    </row>
    <row r="270" spans="1:1" x14ac:dyDescent="0.25">
      <c r="A270" s="4" t="s">
        <v>849</v>
      </c>
    </row>
    <row r="271" spans="1:1" x14ac:dyDescent="0.25">
      <c r="A271" s="4" t="s">
        <v>850</v>
      </c>
    </row>
    <row r="272" spans="1:1" x14ac:dyDescent="0.25">
      <c r="A272" s="4" t="s">
        <v>851</v>
      </c>
    </row>
    <row r="273" spans="1:1" x14ac:dyDescent="0.25">
      <c r="A273" s="4" t="s">
        <v>852</v>
      </c>
    </row>
    <row r="274" spans="1:1" x14ac:dyDescent="0.25">
      <c r="A274" s="4" t="s">
        <v>853</v>
      </c>
    </row>
    <row r="275" spans="1:1" x14ac:dyDescent="0.25">
      <c r="A275" s="4" t="s">
        <v>854</v>
      </c>
    </row>
    <row r="276" spans="1:1" x14ac:dyDescent="0.25">
      <c r="A276" s="4" t="s">
        <v>855</v>
      </c>
    </row>
    <row r="277" spans="1:1" x14ac:dyDescent="0.25">
      <c r="A277" s="4" t="s">
        <v>856</v>
      </c>
    </row>
    <row r="278" spans="1:1" x14ac:dyDescent="0.25">
      <c r="A278" s="4" t="s">
        <v>857</v>
      </c>
    </row>
    <row r="279" spans="1:1" x14ac:dyDescent="0.25">
      <c r="A279" s="4" t="s">
        <v>858</v>
      </c>
    </row>
    <row r="280" spans="1:1" x14ac:dyDescent="0.25">
      <c r="A280" s="4" t="s">
        <v>859</v>
      </c>
    </row>
    <row r="281" spans="1:1" x14ac:dyDescent="0.25">
      <c r="A281" s="4" t="s">
        <v>860</v>
      </c>
    </row>
    <row r="282" spans="1:1" x14ac:dyDescent="0.25">
      <c r="A282" s="4" t="s">
        <v>861</v>
      </c>
    </row>
    <row r="283" spans="1:1" x14ac:dyDescent="0.25">
      <c r="A283" s="4" t="s">
        <v>862</v>
      </c>
    </row>
    <row r="284" spans="1:1" x14ac:dyDescent="0.25">
      <c r="A284" s="4" t="s">
        <v>863</v>
      </c>
    </row>
    <row r="285" spans="1:1" x14ac:dyDescent="0.25">
      <c r="A285" s="4" t="s">
        <v>864</v>
      </c>
    </row>
    <row r="286" spans="1:1" x14ac:dyDescent="0.25">
      <c r="A286" s="4" t="s">
        <v>865</v>
      </c>
    </row>
    <row r="287" spans="1:1" x14ac:dyDescent="0.25">
      <c r="A287" s="4" t="s">
        <v>866</v>
      </c>
    </row>
    <row r="288" spans="1:1" x14ac:dyDescent="0.25">
      <c r="A288" s="4" t="s">
        <v>867</v>
      </c>
    </row>
    <row r="289" spans="1:1" x14ac:dyDescent="0.25">
      <c r="A289" s="4" t="s">
        <v>868</v>
      </c>
    </row>
    <row r="290" spans="1:1" x14ac:dyDescent="0.25">
      <c r="A290" s="4" t="s">
        <v>869</v>
      </c>
    </row>
    <row r="291" spans="1:1" x14ac:dyDescent="0.25">
      <c r="A291" s="4" t="s">
        <v>870</v>
      </c>
    </row>
    <row r="292" spans="1:1" x14ac:dyDescent="0.25">
      <c r="A292" s="4" t="s">
        <v>871</v>
      </c>
    </row>
    <row r="293" spans="1:1" x14ac:dyDescent="0.25">
      <c r="A293" s="4" t="s">
        <v>872</v>
      </c>
    </row>
    <row r="294" spans="1:1" x14ac:dyDescent="0.25">
      <c r="A294" s="4" t="s">
        <v>873</v>
      </c>
    </row>
    <row r="295" spans="1:1" x14ac:dyDescent="0.25">
      <c r="A295" s="4" t="s">
        <v>874</v>
      </c>
    </row>
    <row r="296" spans="1:1" x14ac:dyDescent="0.25">
      <c r="A296" s="4" t="s">
        <v>875</v>
      </c>
    </row>
    <row r="297" spans="1:1" x14ac:dyDescent="0.25">
      <c r="A297" s="4" t="s">
        <v>876</v>
      </c>
    </row>
    <row r="298" spans="1:1" x14ac:dyDescent="0.25">
      <c r="A298" s="4" t="s">
        <v>877</v>
      </c>
    </row>
    <row r="299" spans="1:1" x14ac:dyDescent="0.25">
      <c r="A299" s="4" t="s">
        <v>878</v>
      </c>
    </row>
    <row r="300" spans="1:1" x14ac:dyDescent="0.25">
      <c r="A300" s="4" t="s">
        <v>879</v>
      </c>
    </row>
    <row r="301" spans="1:1" x14ac:dyDescent="0.25">
      <c r="A301" s="4" t="s">
        <v>880</v>
      </c>
    </row>
    <row r="302" spans="1:1" x14ac:dyDescent="0.25">
      <c r="A302" s="4" t="s">
        <v>881</v>
      </c>
    </row>
    <row r="303" spans="1:1" x14ac:dyDescent="0.25">
      <c r="A303" s="4" t="s">
        <v>882</v>
      </c>
    </row>
    <row r="304" spans="1:1" x14ac:dyDescent="0.25">
      <c r="A304" s="4" t="s">
        <v>883</v>
      </c>
    </row>
    <row r="305" spans="1:1" x14ac:dyDescent="0.25">
      <c r="A305" s="4" t="s">
        <v>884</v>
      </c>
    </row>
    <row r="306" spans="1:1" x14ac:dyDescent="0.25">
      <c r="A306" s="4" t="s">
        <v>885</v>
      </c>
    </row>
    <row r="307" spans="1:1" x14ac:dyDescent="0.25">
      <c r="A307" s="4" t="s">
        <v>886</v>
      </c>
    </row>
    <row r="308" spans="1:1" x14ac:dyDescent="0.25">
      <c r="A308" s="4" t="s">
        <v>887</v>
      </c>
    </row>
    <row r="309" spans="1:1" x14ac:dyDescent="0.25">
      <c r="A309" s="4" t="s">
        <v>888</v>
      </c>
    </row>
    <row r="310" spans="1:1" x14ac:dyDescent="0.25">
      <c r="A310" s="4" t="s">
        <v>889</v>
      </c>
    </row>
    <row r="311" spans="1:1" x14ac:dyDescent="0.25">
      <c r="A311" s="4" t="s">
        <v>890</v>
      </c>
    </row>
    <row r="312" spans="1:1" x14ac:dyDescent="0.25">
      <c r="A312" s="4" t="s">
        <v>891</v>
      </c>
    </row>
    <row r="313" spans="1:1" x14ac:dyDescent="0.25">
      <c r="A313" s="4" t="s">
        <v>892</v>
      </c>
    </row>
    <row r="314" spans="1:1" x14ac:dyDescent="0.25">
      <c r="A314" s="4" t="s">
        <v>893</v>
      </c>
    </row>
    <row r="315" spans="1:1" x14ac:dyDescent="0.25">
      <c r="A315" s="4" t="s">
        <v>894</v>
      </c>
    </row>
    <row r="316" spans="1:1" x14ac:dyDescent="0.25">
      <c r="A316" s="4" t="s">
        <v>895</v>
      </c>
    </row>
    <row r="317" spans="1:1" x14ac:dyDescent="0.25">
      <c r="A317" s="4" t="s">
        <v>896</v>
      </c>
    </row>
    <row r="318" spans="1:1" x14ac:dyDescent="0.25">
      <c r="A318" s="4" t="s">
        <v>897</v>
      </c>
    </row>
    <row r="319" spans="1:1" x14ac:dyDescent="0.25">
      <c r="A319" s="4" t="s">
        <v>898</v>
      </c>
    </row>
    <row r="320" spans="1:1" x14ac:dyDescent="0.25">
      <c r="A320" s="4" t="s">
        <v>899</v>
      </c>
    </row>
    <row r="321" spans="1:1" x14ac:dyDescent="0.25">
      <c r="A321" s="4" t="s">
        <v>900</v>
      </c>
    </row>
    <row r="322" spans="1:1" x14ac:dyDescent="0.25">
      <c r="A322" s="4" t="s">
        <v>901</v>
      </c>
    </row>
    <row r="323" spans="1:1" x14ac:dyDescent="0.25">
      <c r="A323" s="4" t="s">
        <v>902</v>
      </c>
    </row>
    <row r="324" spans="1:1" x14ac:dyDescent="0.25">
      <c r="A324" s="4" t="s">
        <v>903</v>
      </c>
    </row>
    <row r="325" spans="1:1" x14ac:dyDescent="0.25">
      <c r="A325" s="4" t="s">
        <v>904</v>
      </c>
    </row>
    <row r="326" spans="1:1" x14ac:dyDescent="0.25">
      <c r="A326" s="4" t="s">
        <v>905</v>
      </c>
    </row>
    <row r="327" spans="1:1" x14ac:dyDescent="0.25">
      <c r="A327" s="4" t="s">
        <v>906</v>
      </c>
    </row>
    <row r="328" spans="1:1" x14ac:dyDescent="0.25">
      <c r="A328" s="4" t="s">
        <v>907</v>
      </c>
    </row>
    <row r="329" spans="1:1" x14ac:dyDescent="0.25">
      <c r="A329" s="4" t="s">
        <v>908</v>
      </c>
    </row>
    <row r="330" spans="1:1" x14ac:dyDescent="0.25">
      <c r="A330" s="4" t="s">
        <v>909</v>
      </c>
    </row>
    <row r="331" spans="1:1" x14ac:dyDescent="0.25">
      <c r="A331" s="4" t="s">
        <v>910</v>
      </c>
    </row>
    <row r="332" spans="1:1" x14ac:dyDescent="0.25">
      <c r="A332" s="4" t="s">
        <v>911</v>
      </c>
    </row>
    <row r="333" spans="1:1" x14ac:dyDescent="0.25">
      <c r="A333" s="4" t="s">
        <v>912</v>
      </c>
    </row>
    <row r="334" spans="1:1" x14ac:dyDescent="0.25">
      <c r="A334" s="4" t="s">
        <v>913</v>
      </c>
    </row>
    <row r="335" spans="1:1" x14ac:dyDescent="0.25">
      <c r="A335" s="4" t="s">
        <v>914</v>
      </c>
    </row>
    <row r="336" spans="1:1" x14ac:dyDescent="0.25">
      <c r="A336" s="4" t="s">
        <v>915</v>
      </c>
    </row>
    <row r="337" spans="1:1" x14ac:dyDescent="0.25">
      <c r="A337" s="4" t="s">
        <v>916</v>
      </c>
    </row>
    <row r="338" spans="1:1" x14ac:dyDescent="0.25">
      <c r="A338" s="4" t="s">
        <v>917</v>
      </c>
    </row>
    <row r="339" spans="1:1" x14ac:dyDescent="0.25">
      <c r="A339" s="4" t="s">
        <v>918</v>
      </c>
    </row>
    <row r="340" spans="1:1" x14ac:dyDescent="0.25">
      <c r="A340" s="4" t="s">
        <v>919</v>
      </c>
    </row>
    <row r="341" spans="1:1" x14ac:dyDescent="0.25">
      <c r="A341" s="4" t="s">
        <v>920</v>
      </c>
    </row>
    <row r="342" spans="1:1" x14ac:dyDescent="0.25">
      <c r="A342" s="4" t="s">
        <v>921</v>
      </c>
    </row>
    <row r="343" spans="1:1" x14ac:dyDescent="0.25">
      <c r="A343" s="4" t="s">
        <v>922</v>
      </c>
    </row>
    <row r="344" spans="1:1" x14ac:dyDescent="0.25">
      <c r="A344" s="4" t="s">
        <v>923</v>
      </c>
    </row>
    <row r="345" spans="1:1" x14ac:dyDescent="0.25">
      <c r="A345" s="4" t="s">
        <v>924</v>
      </c>
    </row>
    <row r="346" spans="1:1" x14ac:dyDescent="0.25">
      <c r="A346" s="4" t="s">
        <v>925</v>
      </c>
    </row>
    <row r="347" spans="1:1" x14ac:dyDescent="0.25">
      <c r="A347" s="4" t="s">
        <v>926</v>
      </c>
    </row>
    <row r="348" spans="1:1" x14ac:dyDescent="0.25">
      <c r="A348" s="4" t="s">
        <v>927</v>
      </c>
    </row>
    <row r="349" spans="1:1" x14ac:dyDescent="0.25">
      <c r="A349" s="4" t="s">
        <v>928</v>
      </c>
    </row>
    <row r="350" spans="1:1" x14ac:dyDescent="0.25">
      <c r="A350" s="4" t="s">
        <v>929</v>
      </c>
    </row>
    <row r="351" spans="1:1" x14ac:dyDescent="0.25">
      <c r="A351" s="4" t="s">
        <v>930</v>
      </c>
    </row>
    <row r="352" spans="1:1" x14ac:dyDescent="0.25">
      <c r="A352" s="4" t="s">
        <v>931</v>
      </c>
    </row>
    <row r="353" spans="1:1" x14ac:dyDescent="0.25">
      <c r="A353" s="4" t="s">
        <v>932</v>
      </c>
    </row>
    <row r="354" spans="1:1" x14ac:dyDescent="0.25">
      <c r="A354" s="4" t="s">
        <v>933</v>
      </c>
    </row>
    <row r="355" spans="1:1" x14ac:dyDescent="0.25">
      <c r="A355" s="4" t="s">
        <v>934</v>
      </c>
    </row>
    <row r="356" spans="1:1" x14ac:dyDescent="0.25">
      <c r="A356" s="4" t="s">
        <v>935</v>
      </c>
    </row>
    <row r="357" spans="1:1" x14ac:dyDescent="0.25">
      <c r="A357" s="4" t="s">
        <v>936</v>
      </c>
    </row>
    <row r="358" spans="1:1" x14ac:dyDescent="0.25">
      <c r="A358" s="4" t="s">
        <v>937</v>
      </c>
    </row>
    <row r="359" spans="1:1" x14ac:dyDescent="0.25">
      <c r="A359" s="4" t="s">
        <v>938</v>
      </c>
    </row>
    <row r="360" spans="1:1" x14ac:dyDescent="0.25">
      <c r="A360" s="4" t="s">
        <v>939</v>
      </c>
    </row>
    <row r="361" spans="1:1" x14ac:dyDescent="0.25">
      <c r="A361" s="4" t="s">
        <v>940</v>
      </c>
    </row>
    <row r="362" spans="1:1" x14ac:dyDescent="0.25">
      <c r="A362" s="4" t="s">
        <v>941</v>
      </c>
    </row>
    <row r="363" spans="1:1" x14ac:dyDescent="0.25">
      <c r="A363" s="4" t="s">
        <v>942</v>
      </c>
    </row>
    <row r="364" spans="1:1" x14ac:dyDescent="0.25">
      <c r="A364" s="4" t="s">
        <v>943</v>
      </c>
    </row>
    <row r="365" spans="1:1" x14ac:dyDescent="0.25">
      <c r="A365" s="4" t="s">
        <v>944</v>
      </c>
    </row>
    <row r="366" spans="1:1" x14ac:dyDescent="0.25">
      <c r="A366" s="4" t="s">
        <v>945</v>
      </c>
    </row>
    <row r="367" spans="1:1" x14ac:dyDescent="0.25">
      <c r="A367" s="4" t="s">
        <v>946</v>
      </c>
    </row>
    <row r="368" spans="1:1" x14ac:dyDescent="0.25">
      <c r="A368" s="4" t="s">
        <v>947</v>
      </c>
    </row>
    <row r="369" spans="1:1" x14ac:dyDescent="0.25">
      <c r="A369" s="4" t="s">
        <v>948</v>
      </c>
    </row>
    <row r="370" spans="1:1" x14ac:dyDescent="0.25">
      <c r="A370" s="4" t="s">
        <v>949</v>
      </c>
    </row>
    <row r="371" spans="1:1" x14ac:dyDescent="0.25">
      <c r="A371" s="4" t="s">
        <v>950</v>
      </c>
    </row>
    <row r="372" spans="1:1" x14ac:dyDescent="0.25">
      <c r="A372" s="4" t="s">
        <v>951</v>
      </c>
    </row>
    <row r="373" spans="1:1" x14ac:dyDescent="0.25">
      <c r="A373" s="4" t="s">
        <v>952</v>
      </c>
    </row>
    <row r="374" spans="1:1" x14ac:dyDescent="0.25">
      <c r="A374" s="4" t="s">
        <v>953</v>
      </c>
    </row>
    <row r="375" spans="1:1" x14ac:dyDescent="0.25">
      <c r="A375" s="4" t="s">
        <v>954</v>
      </c>
    </row>
    <row r="376" spans="1:1" x14ac:dyDescent="0.25">
      <c r="A376" s="4" t="s">
        <v>955</v>
      </c>
    </row>
    <row r="377" spans="1:1" x14ac:dyDescent="0.25">
      <c r="A377" s="4" t="s">
        <v>956</v>
      </c>
    </row>
    <row r="378" spans="1:1" x14ac:dyDescent="0.25">
      <c r="A378" s="4" t="s">
        <v>957</v>
      </c>
    </row>
    <row r="379" spans="1:1" x14ac:dyDescent="0.25">
      <c r="A379" s="4" t="s">
        <v>958</v>
      </c>
    </row>
    <row r="380" spans="1:1" x14ac:dyDescent="0.25">
      <c r="A380" s="4" t="s">
        <v>959</v>
      </c>
    </row>
    <row r="381" spans="1:1" x14ac:dyDescent="0.25">
      <c r="A381" s="4" t="s">
        <v>960</v>
      </c>
    </row>
    <row r="382" spans="1:1" x14ac:dyDescent="0.25">
      <c r="A382" s="4" t="s">
        <v>961</v>
      </c>
    </row>
    <row r="383" spans="1:1" x14ac:dyDescent="0.25">
      <c r="A383" s="4" t="s">
        <v>962</v>
      </c>
    </row>
    <row r="384" spans="1:1" x14ac:dyDescent="0.25">
      <c r="A384" s="4" t="s">
        <v>963</v>
      </c>
    </row>
    <row r="385" spans="1:1" x14ac:dyDescent="0.25">
      <c r="A385" s="4" t="s">
        <v>964</v>
      </c>
    </row>
    <row r="386" spans="1:1" x14ac:dyDescent="0.25">
      <c r="A386" s="4" t="s">
        <v>965</v>
      </c>
    </row>
    <row r="387" spans="1:1" x14ac:dyDescent="0.25">
      <c r="A387" s="4" t="s">
        <v>966</v>
      </c>
    </row>
    <row r="388" spans="1:1" x14ac:dyDescent="0.25">
      <c r="A388" s="4" t="s">
        <v>967</v>
      </c>
    </row>
    <row r="389" spans="1:1" x14ac:dyDescent="0.25">
      <c r="A389" s="4" t="s">
        <v>968</v>
      </c>
    </row>
    <row r="390" spans="1:1" x14ac:dyDescent="0.25">
      <c r="A390" s="4" t="s">
        <v>969</v>
      </c>
    </row>
    <row r="391" spans="1:1" x14ac:dyDescent="0.25">
      <c r="A391" s="4" t="s">
        <v>970</v>
      </c>
    </row>
    <row r="392" spans="1:1" x14ac:dyDescent="0.25">
      <c r="A392" s="4" t="s">
        <v>971</v>
      </c>
    </row>
    <row r="393" spans="1:1" x14ac:dyDescent="0.25">
      <c r="A393" s="4" t="s">
        <v>972</v>
      </c>
    </row>
    <row r="394" spans="1:1" x14ac:dyDescent="0.25">
      <c r="A394" s="4" t="s">
        <v>973</v>
      </c>
    </row>
    <row r="395" spans="1:1" x14ac:dyDescent="0.25">
      <c r="A395" s="4" t="s">
        <v>974</v>
      </c>
    </row>
    <row r="396" spans="1:1" x14ac:dyDescent="0.25">
      <c r="A396" s="4" t="s">
        <v>975</v>
      </c>
    </row>
    <row r="397" spans="1:1" x14ac:dyDescent="0.25">
      <c r="A397" s="4" t="s">
        <v>976</v>
      </c>
    </row>
    <row r="398" spans="1:1" x14ac:dyDescent="0.25">
      <c r="A398" s="4" t="s">
        <v>977</v>
      </c>
    </row>
    <row r="399" spans="1:1" x14ac:dyDescent="0.25">
      <c r="A399" s="4" t="s">
        <v>978</v>
      </c>
    </row>
    <row r="400" spans="1:1" x14ac:dyDescent="0.25">
      <c r="A400" s="4" t="s">
        <v>979</v>
      </c>
    </row>
    <row r="401" spans="1:1" x14ac:dyDescent="0.25">
      <c r="A401" s="4" t="s">
        <v>980</v>
      </c>
    </row>
    <row r="402" spans="1:1" x14ac:dyDescent="0.25">
      <c r="A402" s="4" t="s">
        <v>981</v>
      </c>
    </row>
    <row r="403" spans="1:1" x14ac:dyDescent="0.25">
      <c r="A403" s="4" t="s">
        <v>982</v>
      </c>
    </row>
    <row r="404" spans="1:1" x14ac:dyDescent="0.25">
      <c r="A404" s="4" t="s">
        <v>983</v>
      </c>
    </row>
    <row r="405" spans="1:1" x14ac:dyDescent="0.25">
      <c r="A405" s="4" t="s">
        <v>984</v>
      </c>
    </row>
    <row r="406" spans="1:1" x14ac:dyDescent="0.25">
      <c r="A406" s="4" t="s">
        <v>985</v>
      </c>
    </row>
    <row r="407" spans="1:1" x14ac:dyDescent="0.25">
      <c r="A407" s="4" t="s">
        <v>986</v>
      </c>
    </row>
    <row r="408" spans="1:1" x14ac:dyDescent="0.25">
      <c r="A408" s="4" t="s">
        <v>987</v>
      </c>
    </row>
    <row r="409" spans="1:1" x14ac:dyDescent="0.25">
      <c r="A409" s="4" t="s">
        <v>988</v>
      </c>
    </row>
    <row r="410" spans="1:1" x14ac:dyDescent="0.25">
      <c r="A410" s="4" t="s">
        <v>989</v>
      </c>
    </row>
    <row r="411" spans="1:1" x14ac:dyDescent="0.25">
      <c r="A411" s="4" t="s">
        <v>990</v>
      </c>
    </row>
    <row r="412" spans="1:1" x14ac:dyDescent="0.25">
      <c r="A412" s="4" t="s">
        <v>991</v>
      </c>
    </row>
    <row r="413" spans="1:1" x14ac:dyDescent="0.25">
      <c r="A413" s="4" t="s">
        <v>992</v>
      </c>
    </row>
    <row r="414" spans="1:1" x14ac:dyDescent="0.25">
      <c r="A414" s="4" t="s">
        <v>993</v>
      </c>
    </row>
    <row r="415" spans="1:1" x14ac:dyDescent="0.25">
      <c r="A415" s="4" t="s">
        <v>994</v>
      </c>
    </row>
    <row r="416" spans="1:1" x14ac:dyDescent="0.25">
      <c r="A416" s="4" t="s">
        <v>995</v>
      </c>
    </row>
    <row r="417" spans="1:1" x14ac:dyDescent="0.25">
      <c r="A417" s="4" t="s">
        <v>996</v>
      </c>
    </row>
    <row r="418" spans="1:1" x14ac:dyDescent="0.25">
      <c r="A418" s="4" t="s">
        <v>997</v>
      </c>
    </row>
    <row r="419" spans="1:1" x14ac:dyDescent="0.25">
      <c r="A419" s="4" t="s">
        <v>998</v>
      </c>
    </row>
    <row r="420" spans="1:1" x14ac:dyDescent="0.25">
      <c r="A420" s="4" t="s">
        <v>999</v>
      </c>
    </row>
    <row r="421" spans="1:1" x14ac:dyDescent="0.25">
      <c r="A421" s="4" t="s">
        <v>1000</v>
      </c>
    </row>
    <row r="422" spans="1:1" x14ac:dyDescent="0.25">
      <c r="A422" s="4" t="s">
        <v>1001</v>
      </c>
    </row>
    <row r="423" spans="1:1" x14ac:dyDescent="0.25">
      <c r="A423" s="4" t="s">
        <v>1002</v>
      </c>
    </row>
    <row r="424" spans="1:1" x14ac:dyDescent="0.25">
      <c r="A424" s="4" t="s">
        <v>1003</v>
      </c>
    </row>
    <row r="425" spans="1:1" x14ac:dyDescent="0.25">
      <c r="A425" s="4" t="s">
        <v>1004</v>
      </c>
    </row>
    <row r="426" spans="1:1" x14ac:dyDescent="0.25">
      <c r="A426" s="4" t="s">
        <v>1005</v>
      </c>
    </row>
    <row r="427" spans="1:1" x14ac:dyDescent="0.25">
      <c r="A427" s="4" t="s">
        <v>1006</v>
      </c>
    </row>
    <row r="428" spans="1:1" x14ac:dyDescent="0.25">
      <c r="A428" s="4" t="s">
        <v>1007</v>
      </c>
    </row>
    <row r="429" spans="1:1" x14ac:dyDescent="0.25">
      <c r="A429" s="4" t="s">
        <v>1008</v>
      </c>
    </row>
    <row r="430" spans="1:1" x14ac:dyDescent="0.25">
      <c r="A430" s="4" t="s">
        <v>1009</v>
      </c>
    </row>
    <row r="431" spans="1:1" x14ac:dyDescent="0.25">
      <c r="A431" s="4" t="s">
        <v>1010</v>
      </c>
    </row>
    <row r="432" spans="1:1" x14ac:dyDescent="0.25">
      <c r="A432" s="4" t="s">
        <v>1011</v>
      </c>
    </row>
    <row r="433" spans="1:1" x14ac:dyDescent="0.25">
      <c r="A433" s="4" t="s">
        <v>1012</v>
      </c>
    </row>
    <row r="434" spans="1:1" x14ac:dyDescent="0.25">
      <c r="A434" s="4" t="s">
        <v>1013</v>
      </c>
    </row>
    <row r="435" spans="1:1" x14ac:dyDescent="0.25">
      <c r="A435" s="4" t="s">
        <v>1014</v>
      </c>
    </row>
    <row r="436" spans="1:1" x14ac:dyDescent="0.25">
      <c r="A436" s="4" t="s">
        <v>1015</v>
      </c>
    </row>
    <row r="437" spans="1:1" x14ac:dyDescent="0.25">
      <c r="A437" s="4" t="s">
        <v>1016</v>
      </c>
    </row>
    <row r="438" spans="1:1" x14ac:dyDescent="0.25">
      <c r="A438" s="4" t="s">
        <v>1017</v>
      </c>
    </row>
    <row r="439" spans="1:1" x14ac:dyDescent="0.25">
      <c r="A439" s="4" t="s">
        <v>1018</v>
      </c>
    </row>
    <row r="440" spans="1:1" x14ac:dyDescent="0.25">
      <c r="A440" s="4" t="s">
        <v>1019</v>
      </c>
    </row>
    <row r="441" spans="1:1" x14ac:dyDescent="0.25">
      <c r="A441" s="4" t="s">
        <v>1020</v>
      </c>
    </row>
    <row r="442" spans="1:1" x14ac:dyDescent="0.25">
      <c r="A442" s="4" t="s">
        <v>1021</v>
      </c>
    </row>
    <row r="443" spans="1:1" x14ac:dyDescent="0.25">
      <c r="A443" s="4" t="s">
        <v>1022</v>
      </c>
    </row>
    <row r="444" spans="1:1" x14ac:dyDescent="0.25">
      <c r="A444" s="4" t="s">
        <v>1023</v>
      </c>
    </row>
    <row r="445" spans="1:1" x14ac:dyDescent="0.25">
      <c r="A445" s="4" t="s">
        <v>1024</v>
      </c>
    </row>
    <row r="446" spans="1:1" x14ac:dyDescent="0.25">
      <c r="A446" s="4" t="s">
        <v>1025</v>
      </c>
    </row>
    <row r="447" spans="1:1" x14ac:dyDescent="0.25">
      <c r="A447" s="4" t="s">
        <v>1026</v>
      </c>
    </row>
    <row r="448" spans="1:1" x14ac:dyDescent="0.25">
      <c r="A448" s="4" t="s">
        <v>1027</v>
      </c>
    </row>
    <row r="449" spans="1:1" x14ac:dyDescent="0.25">
      <c r="A449" s="4" t="s">
        <v>1028</v>
      </c>
    </row>
    <row r="450" spans="1:1" x14ac:dyDescent="0.25">
      <c r="A450" s="4" t="s">
        <v>1029</v>
      </c>
    </row>
    <row r="451" spans="1:1" x14ac:dyDescent="0.25">
      <c r="A451" s="4" t="s">
        <v>1030</v>
      </c>
    </row>
    <row r="452" spans="1:1" x14ac:dyDescent="0.25">
      <c r="A452" s="4" t="s">
        <v>1031</v>
      </c>
    </row>
    <row r="453" spans="1:1" x14ac:dyDescent="0.25">
      <c r="A453" s="4" t="s">
        <v>1032</v>
      </c>
    </row>
    <row r="454" spans="1:1" x14ac:dyDescent="0.25">
      <c r="A454" s="4" t="s">
        <v>1033</v>
      </c>
    </row>
    <row r="455" spans="1:1" x14ac:dyDescent="0.25">
      <c r="A455" s="4" t="s">
        <v>1034</v>
      </c>
    </row>
    <row r="456" spans="1:1" x14ac:dyDescent="0.25">
      <c r="A456" s="4" t="s">
        <v>1035</v>
      </c>
    </row>
    <row r="457" spans="1:1" x14ac:dyDescent="0.25">
      <c r="A457" s="4" t="s">
        <v>1036</v>
      </c>
    </row>
    <row r="458" spans="1:1" x14ac:dyDescent="0.25">
      <c r="A458" s="4" t="s">
        <v>1037</v>
      </c>
    </row>
    <row r="459" spans="1:1" x14ac:dyDescent="0.25">
      <c r="A459" s="4" t="s">
        <v>1038</v>
      </c>
    </row>
    <row r="460" spans="1:1" x14ac:dyDescent="0.25">
      <c r="A460" s="4" t="s">
        <v>1039</v>
      </c>
    </row>
    <row r="461" spans="1:1" x14ac:dyDescent="0.25">
      <c r="A461" s="4" t="s">
        <v>1040</v>
      </c>
    </row>
    <row r="462" spans="1:1" x14ac:dyDescent="0.25">
      <c r="A462" s="4" t="s">
        <v>1041</v>
      </c>
    </row>
    <row r="463" spans="1:1" x14ac:dyDescent="0.25">
      <c r="A463" s="4" t="s">
        <v>1042</v>
      </c>
    </row>
    <row r="464" spans="1:1" x14ac:dyDescent="0.25">
      <c r="A464" s="4" t="s">
        <v>1043</v>
      </c>
    </row>
    <row r="465" spans="1:1" x14ac:dyDescent="0.25">
      <c r="A465" s="4" t="s">
        <v>1044</v>
      </c>
    </row>
    <row r="466" spans="1:1" x14ac:dyDescent="0.25">
      <c r="A466" s="4" t="s">
        <v>1045</v>
      </c>
    </row>
    <row r="467" spans="1:1" x14ac:dyDescent="0.25">
      <c r="A467" s="4" t="s">
        <v>1046</v>
      </c>
    </row>
    <row r="468" spans="1:1" x14ac:dyDescent="0.25">
      <c r="A468" s="4" t="s">
        <v>1047</v>
      </c>
    </row>
    <row r="469" spans="1:1" x14ac:dyDescent="0.25">
      <c r="A469" s="4" t="s">
        <v>1048</v>
      </c>
    </row>
    <row r="470" spans="1:1" x14ac:dyDescent="0.25">
      <c r="A470" s="4" t="s">
        <v>1049</v>
      </c>
    </row>
    <row r="471" spans="1:1" x14ac:dyDescent="0.25">
      <c r="A471" s="4" t="s">
        <v>1050</v>
      </c>
    </row>
    <row r="472" spans="1:1" x14ac:dyDescent="0.25">
      <c r="A472" s="4" t="s">
        <v>1051</v>
      </c>
    </row>
    <row r="473" spans="1:1" x14ac:dyDescent="0.25">
      <c r="A473" s="4" t="s">
        <v>1052</v>
      </c>
    </row>
    <row r="474" spans="1:1" x14ac:dyDescent="0.25">
      <c r="A474" s="4" t="s">
        <v>1053</v>
      </c>
    </row>
    <row r="475" spans="1:1" x14ac:dyDescent="0.25">
      <c r="A475" s="4" t="s">
        <v>1054</v>
      </c>
    </row>
    <row r="476" spans="1:1" x14ac:dyDescent="0.25">
      <c r="A476" s="4" t="s">
        <v>1055</v>
      </c>
    </row>
    <row r="477" spans="1:1" x14ac:dyDescent="0.25">
      <c r="A477" s="4" t="s">
        <v>1056</v>
      </c>
    </row>
    <row r="478" spans="1:1" x14ac:dyDescent="0.25">
      <c r="A478" s="4" t="s">
        <v>1057</v>
      </c>
    </row>
    <row r="479" spans="1:1" x14ac:dyDescent="0.25">
      <c r="A479" s="4" t="s">
        <v>1058</v>
      </c>
    </row>
    <row r="480" spans="1:1" x14ac:dyDescent="0.25">
      <c r="A480" s="4" t="s">
        <v>1059</v>
      </c>
    </row>
    <row r="481" spans="1:1" x14ac:dyDescent="0.25">
      <c r="A481" s="4" t="s">
        <v>1060</v>
      </c>
    </row>
    <row r="482" spans="1:1" x14ac:dyDescent="0.25">
      <c r="A482" s="4" t="s">
        <v>1061</v>
      </c>
    </row>
    <row r="483" spans="1:1" x14ac:dyDescent="0.25">
      <c r="A483" s="4" t="s">
        <v>1062</v>
      </c>
    </row>
    <row r="484" spans="1:1" x14ac:dyDescent="0.25">
      <c r="A484" s="4" t="s">
        <v>1063</v>
      </c>
    </row>
    <row r="485" spans="1:1" x14ac:dyDescent="0.25">
      <c r="A485" s="4" t="s">
        <v>1064</v>
      </c>
    </row>
    <row r="486" spans="1:1" x14ac:dyDescent="0.25">
      <c r="A486" s="4" t="s">
        <v>1065</v>
      </c>
    </row>
    <row r="487" spans="1:1" x14ac:dyDescent="0.25">
      <c r="A487" s="4" t="s">
        <v>1066</v>
      </c>
    </row>
    <row r="488" spans="1:1" x14ac:dyDescent="0.25">
      <c r="A488" s="4" t="s">
        <v>1067</v>
      </c>
    </row>
    <row r="489" spans="1:1" x14ac:dyDescent="0.25">
      <c r="A489" s="4" t="s">
        <v>1068</v>
      </c>
    </row>
    <row r="490" spans="1:1" x14ac:dyDescent="0.25">
      <c r="A490" s="4" t="s">
        <v>1069</v>
      </c>
    </row>
    <row r="491" spans="1:1" x14ac:dyDescent="0.25">
      <c r="A491" s="4" t="s">
        <v>1070</v>
      </c>
    </row>
    <row r="492" spans="1:1" x14ac:dyDescent="0.25">
      <c r="A492" s="4" t="s">
        <v>1071</v>
      </c>
    </row>
    <row r="493" spans="1:1" x14ac:dyDescent="0.25">
      <c r="A493" s="4" t="s">
        <v>1072</v>
      </c>
    </row>
    <row r="494" spans="1:1" x14ac:dyDescent="0.25">
      <c r="A494" s="4" t="s">
        <v>1073</v>
      </c>
    </row>
    <row r="495" spans="1:1" x14ac:dyDescent="0.25">
      <c r="A495" s="4" t="s">
        <v>1074</v>
      </c>
    </row>
    <row r="496" spans="1:1" x14ac:dyDescent="0.25">
      <c r="A496" s="4" t="s">
        <v>1075</v>
      </c>
    </row>
    <row r="497" spans="1:1" x14ac:dyDescent="0.25">
      <c r="A497" s="4" t="s">
        <v>1076</v>
      </c>
    </row>
    <row r="498" spans="1:1" x14ac:dyDescent="0.25">
      <c r="A498" s="4" t="s">
        <v>1077</v>
      </c>
    </row>
    <row r="499" spans="1:1" x14ac:dyDescent="0.25">
      <c r="A499" s="4" t="s">
        <v>1078</v>
      </c>
    </row>
    <row r="500" spans="1:1" x14ac:dyDescent="0.25">
      <c r="A500" s="4" t="s">
        <v>1079</v>
      </c>
    </row>
    <row r="501" spans="1:1" x14ac:dyDescent="0.25">
      <c r="A501" s="4" t="s">
        <v>1080</v>
      </c>
    </row>
    <row r="502" spans="1:1" x14ac:dyDescent="0.25">
      <c r="A502" s="4" t="s">
        <v>1081</v>
      </c>
    </row>
    <row r="503" spans="1:1" x14ac:dyDescent="0.25">
      <c r="A503" s="4" t="s">
        <v>1082</v>
      </c>
    </row>
    <row r="504" spans="1:1" x14ac:dyDescent="0.25">
      <c r="A504" s="4" t="s">
        <v>1083</v>
      </c>
    </row>
    <row r="505" spans="1:1" x14ac:dyDescent="0.25">
      <c r="A505" s="4" t="s">
        <v>1084</v>
      </c>
    </row>
    <row r="506" spans="1:1" x14ac:dyDescent="0.25">
      <c r="A506" s="4" t="s">
        <v>1085</v>
      </c>
    </row>
    <row r="507" spans="1:1" x14ac:dyDescent="0.25">
      <c r="A507" s="4" t="s">
        <v>1086</v>
      </c>
    </row>
    <row r="508" spans="1:1" x14ac:dyDescent="0.25">
      <c r="A508" s="4" t="s">
        <v>1087</v>
      </c>
    </row>
    <row r="509" spans="1:1" x14ac:dyDescent="0.25">
      <c r="A509" s="4" t="s">
        <v>1088</v>
      </c>
    </row>
    <row r="510" spans="1:1" x14ac:dyDescent="0.25">
      <c r="A510" s="4" t="s">
        <v>1089</v>
      </c>
    </row>
    <row r="511" spans="1:1" x14ac:dyDescent="0.25">
      <c r="A511" s="4" t="s">
        <v>1090</v>
      </c>
    </row>
    <row r="512" spans="1:1" x14ac:dyDescent="0.25">
      <c r="A512" s="4" t="s">
        <v>1091</v>
      </c>
    </row>
    <row r="513" spans="1:1" x14ac:dyDescent="0.25">
      <c r="A513" s="4" t="s">
        <v>1092</v>
      </c>
    </row>
    <row r="514" spans="1:1" x14ac:dyDescent="0.25">
      <c r="A514" s="4" t="s">
        <v>1093</v>
      </c>
    </row>
    <row r="515" spans="1:1" x14ac:dyDescent="0.25">
      <c r="A515" s="4" t="s">
        <v>1094</v>
      </c>
    </row>
    <row r="516" spans="1:1" x14ac:dyDescent="0.25">
      <c r="A516" s="4" t="s">
        <v>1095</v>
      </c>
    </row>
    <row r="517" spans="1:1" x14ac:dyDescent="0.25">
      <c r="A517" s="4" t="s">
        <v>1096</v>
      </c>
    </row>
    <row r="518" spans="1:1" x14ac:dyDescent="0.25">
      <c r="A518" s="4" t="s">
        <v>1097</v>
      </c>
    </row>
    <row r="519" spans="1:1" x14ac:dyDescent="0.25">
      <c r="A519" s="4" t="s">
        <v>1098</v>
      </c>
    </row>
    <row r="520" spans="1:1" x14ac:dyDescent="0.25">
      <c r="A520" s="4" t="s">
        <v>1099</v>
      </c>
    </row>
    <row r="521" spans="1:1" x14ac:dyDescent="0.25">
      <c r="A521" s="4" t="s">
        <v>1100</v>
      </c>
    </row>
    <row r="522" spans="1:1" x14ac:dyDescent="0.25">
      <c r="A522" s="4" t="s">
        <v>1101</v>
      </c>
    </row>
    <row r="523" spans="1:1" x14ac:dyDescent="0.25">
      <c r="A523" s="4" t="s">
        <v>1102</v>
      </c>
    </row>
    <row r="524" spans="1:1" x14ac:dyDescent="0.25">
      <c r="A524" s="4" t="s">
        <v>1103</v>
      </c>
    </row>
    <row r="525" spans="1:1" x14ac:dyDescent="0.25">
      <c r="A525" s="4" t="s">
        <v>1104</v>
      </c>
    </row>
    <row r="526" spans="1:1" x14ac:dyDescent="0.25">
      <c r="A526" s="4" t="s">
        <v>1105</v>
      </c>
    </row>
    <row r="527" spans="1:1" x14ac:dyDescent="0.25">
      <c r="A527" s="4" t="s">
        <v>1106</v>
      </c>
    </row>
    <row r="528" spans="1:1" x14ac:dyDescent="0.25">
      <c r="A528" s="4" t="s">
        <v>1107</v>
      </c>
    </row>
    <row r="529" spans="1:1" x14ac:dyDescent="0.25">
      <c r="A529" s="4" t="s">
        <v>1108</v>
      </c>
    </row>
    <row r="530" spans="1:1" x14ac:dyDescent="0.25">
      <c r="A530" s="4" t="s">
        <v>1109</v>
      </c>
    </row>
    <row r="531" spans="1:1" x14ac:dyDescent="0.25">
      <c r="A531" s="4" t="s">
        <v>1110</v>
      </c>
    </row>
    <row r="532" spans="1:1" x14ac:dyDescent="0.25">
      <c r="A532" s="4" t="s">
        <v>1111</v>
      </c>
    </row>
    <row r="533" spans="1:1" x14ac:dyDescent="0.25">
      <c r="A533" s="4" t="s">
        <v>1112</v>
      </c>
    </row>
    <row r="534" spans="1:1" x14ac:dyDescent="0.25">
      <c r="A534" s="4" t="s">
        <v>1113</v>
      </c>
    </row>
    <row r="535" spans="1:1" x14ac:dyDescent="0.25">
      <c r="A535" s="4" t="s">
        <v>1114</v>
      </c>
    </row>
    <row r="536" spans="1:1" x14ac:dyDescent="0.25">
      <c r="A536" s="4" t="s">
        <v>1115</v>
      </c>
    </row>
    <row r="537" spans="1:1" x14ac:dyDescent="0.25">
      <c r="A537" s="4" t="s">
        <v>1116</v>
      </c>
    </row>
    <row r="538" spans="1:1" x14ac:dyDescent="0.25">
      <c r="A538" s="4" t="s">
        <v>1117</v>
      </c>
    </row>
    <row r="539" spans="1:1" x14ac:dyDescent="0.25">
      <c r="A539" s="4" t="s">
        <v>1118</v>
      </c>
    </row>
    <row r="540" spans="1:1" x14ac:dyDescent="0.25">
      <c r="A540" s="4" t="s">
        <v>1119</v>
      </c>
    </row>
    <row r="541" spans="1:1" x14ac:dyDescent="0.25">
      <c r="A541" s="4" t="s">
        <v>1120</v>
      </c>
    </row>
    <row r="542" spans="1:1" x14ac:dyDescent="0.25">
      <c r="A542" s="4" t="s">
        <v>1121</v>
      </c>
    </row>
    <row r="543" spans="1:1" x14ac:dyDescent="0.25">
      <c r="A543" s="4" t="s">
        <v>1122</v>
      </c>
    </row>
    <row r="544" spans="1:1" x14ac:dyDescent="0.25">
      <c r="A544" s="4" t="s">
        <v>1123</v>
      </c>
    </row>
    <row r="545" spans="1:1" x14ac:dyDescent="0.25">
      <c r="A545" s="4" t="s">
        <v>1124</v>
      </c>
    </row>
    <row r="546" spans="1:1" x14ac:dyDescent="0.25">
      <c r="A546" s="4" t="s">
        <v>1125</v>
      </c>
    </row>
    <row r="547" spans="1:1" x14ac:dyDescent="0.25">
      <c r="A547" s="4" t="s">
        <v>1126</v>
      </c>
    </row>
    <row r="548" spans="1:1" x14ac:dyDescent="0.25">
      <c r="A548" s="4" t="s">
        <v>1127</v>
      </c>
    </row>
    <row r="549" spans="1:1" x14ac:dyDescent="0.25">
      <c r="A549" s="4" t="s">
        <v>1128</v>
      </c>
    </row>
    <row r="550" spans="1:1" x14ac:dyDescent="0.25">
      <c r="A550" s="4" t="s">
        <v>1129</v>
      </c>
    </row>
    <row r="551" spans="1:1" x14ac:dyDescent="0.25">
      <c r="A551" s="4" t="s">
        <v>1130</v>
      </c>
    </row>
    <row r="552" spans="1:1" x14ac:dyDescent="0.25">
      <c r="A552" s="4" t="s">
        <v>1131</v>
      </c>
    </row>
    <row r="553" spans="1:1" x14ac:dyDescent="0.25">
      <c r="A553" s="4" t="s">
        <v>1132</v>
      </c>
    </row>
    <row r="554" spans="1:1" x14ac:dyDescent="0.25">
      <c r="A554" s="4" t="s">
        <v>1133</v>
      </c>
    </row>
    <row r="555" spans="1:1" x14ac:dyDescent="0.25">
      <c r="A555" s="4" t="s">
        <v>1134</v>
      </c>
    </row>
    <row r="556" spans="1:1" x14ac:dyDescent="0.25">
      <c r="A556" s="4" t="s">
        <v>1135</v>
      </c>
    </row>
    <row r="557" spans="1:1" x14ac:dyDescent="0.25">
      <c r="A557" s="4" t="s">
        <v>1136</v>
      </c>
    </row>
    <row r="558" spans="1:1" x14ac:dyDescent="0.25">
      <c r="A558" s="4" t="s">
        <v>1137</v>
      </c>
    </row>
    <row r="559" spans="1:1" x14ac:dyDescent="0.25">
      <c r="A559" s="4" t="s">
        <v>1138</v>
      </c>
    </row>
    <row r="560" spans="1:1" x14ac:dyDescent="0.25">
      <c r="A560" s="4" t="s">
        <v>1139</v>
      </c>
    </row>
    <row r="561" spans="1:1" x14ac:dyDescent="0.25">
      <c r="A561" s="4" t="s">
        <v>1140</v>
      </c>
    </row>
    <row r="562" spans="1:1" x14ac:dyDescent="0.25">
      <c r="A562" s="4" t="s">
        <v>1141</v>
      </c>
    </row>
    <row r="563" spans="1:1" x14ac:dyDescent="0.25">
      <c r="A563" s="4" t="s">
        <v>1142</v>
      </c>
    </row>
    <row r="564" spans="1:1" x14ac:dyDescent="0.25">
      <c r="A564" s="4" t="s">
        <v>1143</v>
      </c>
    </row>
    <row r="565" spans="1:1" x14ac:dyDescent="0.25">
      <c r="A565" s="4" t="s">
        <v>1144</v>
      </c>
    </row>
    <row r="566" spans="1:1" x14ac:dyDescent="0.25">
      <c r="A566" s="4" t="s">
        <v>1145</v>
      </c>
    </row>
    <row r="567" spans="1:1" x14ac:dyDescent="0.25">
      <c r="A567" s="4" t="s">
        <v>1146</v>
      </c>
    </row>
    <row r="568" spans="1:1" x14ac:dyDescent="0.25">
      <c r="A568" s="4" t="s">
        <v>1147</v>
      </c>
    </row>
    <row r="569" spans="1:1" x14ac:dyDescent="0.25">
      <c r="A569" s="4" t="s">
        <v>1148</v>
      </c>
    </row>
    <row r="570" spans="1:1" x14ac:dyDescent="0.25">
      <c r="A570" s="4" t="s">
        <v>1149</v>
      </c>
    </row>
    <row r="571" spans="1:1" x14ac:dyDescent="0.25">
      <c r="A571" s="4" t="s">
        <v>1150</v>
      </c>
    </row>
    <row r="572" spans="1:1" x14ac:dyDescent="0.25">
      <c r="A572" s="4" t="s">
        <v>1151</v>
      </c>
    </row>
    <row r="573" spans="1:1" x14ac:dyDescent="0.25">
      <c r="A573" s="4" t="s">
        <v>1152</v>
      </c>
    </row>
    <row r="574" spans="1:1" x14ac:dyDescent="0.25">
      <c r="A574" s="4" t="s">
        <v>1153</v>
      </c>
    </row>
    <row r="575" spans="1:1" x14ac:dyDescent="0.25">
      <c r="A575" s="4" t="s">
        <v>1154</v>
      </c>
    </row>
    <row r="576" spans="1:1" x14ac:dyDescent="0.25">
      <c r="A576" s="4" t="s">
        <v>1155</v>
      </c>
    </row>
    <row r="577" spans="1:1" x14ac:dyDescent="0.25">
      <c r="A577" s="4" t="s">
        <v>1156</v>
      </c>
    </row>
    <row r="578" spans="1:1" x14ac:dyDescent="0.25">
      <c r="A578" s="4" t="s">
        <v>1157</v>
      </c>
    </row>
    <row r="579" spans="1:1" x14ac:dyDescent="0.25">
      <c r="A579" s="4" t="s">
        <v>1158</v>
      </c>
    </row>
    <row r="580" spans="1:1" x14ac:dyDescent="0.25">
      <c r="A580" s="4" t="s">
        <v>1159</v>
      </c>
    </row>
    <row r="581" spans="1:1" x14ac:dyDescent="0.25">
      <c r="A581" s="4" t="s">
        <v>1160</v>
      </c>
    </row>
    <row r="582" spans="1:1" x14ac:dyDescent="0.25">
      <c r="A582" s="4" t="s">
        <v>1161</v>
      </c>
    </row>
    <row r="583" spans="1:1" x14ac:dyDescent="0.25">
      <c r="A583" s="4" t="s">
        <v>1162</v>
      </c>
    </row>
    <row r="584" spans="1:1" x14ac:dyDescent="0.25">
      <c r="A584" s="4" t="s">
        <v>1163</v>
      </c>
    </row>
    <row r="585" spans="1:1" x14ac:dyDescent="0.25">
      <c r="A585" s="4" t="s">
        <v>1164</v>
      </c>
    </row>
    <row r="586" spans="1:1" x14ac:dyDescent="0.25">
      <c r="A586" s="4" t="s">
        <v>1165</v>
      </c>
    </row>
    <row r="587" spans="1:1" x14ac:dyDescent="0.25">
      <c r="A587" s="4" t="s">
        <v>1166</v>
      </c>
    </row>
    <row r="588" spans="1:1" x14ac:dyDescent="0.25">
      <c r="A588" s="4" t="s">
        <v>1167</v>
      </c>
    </row>
    <row r="589" spans="1:1" x14ac:dyDescent="0.25">
      <c r="A589" s="4" t="s">
        <v>1168</v>
      </c>
    </row>
    <row r="590" spans="1:1" x14ac:dyDescent="0.25">
      <c r="A590" s="4" t="s">
        <v>1169</v>
      </c>
    </row>
    <row r="591" spans="1:1" x14ac:dyDescent="0.25">
      <c r="A591" s="4" t="s">
        <v>1170</v>
      </c>
    </row>
    <row r="592" spans="1:1" x14ac:dyDescent="0.25">
      <c r="A592" s="4" t="s">
        <v>1171</v>
      </c>
    </row>
    <row r="593" spans="1:1" x14ac:dyDescent="0.25">
      <c r="A593" s="4" t="s">
        <v>1172</v>
      </c>
    </row>
    <row r="594" spans="1:1" x14ac:dyDescent="0.25">
      <c r="A594" s="4" t="s">
        <v>1173</v>
      </c>
    </row>
    <row r="595" spans="1:1" x14ac:dyDescent="0.25">
      <c r="A595" s="4" t="s">
        <v>1174</v>
      </c>
    </row>
    <row r="596" spans="1:1" x14ac:dyDescent="0.25">
      <c r="A596" s="4" t="s">
        <v>1175</v>
      </c>
    </row>
    <row r="597" spans="1:1" x14ac:dyDescent="0.25">
      <c r="A597" s="4" t="s">
        <v>1176</v>
      </c>
    </row>
    <row r="598" spans="1:1" x14ac:dyDescent="0.25">
      <c r="A598" s="4" t="s">
        <v>1177</v>
      </c>
    </row>
    <row r="599" spans="1:1" x14ac:dyDescent="0.25">
      <c r="A599" s="4" t="s">
        <v>1178</v>
      </c>
    </row>
    <row r="600" spans="1:1" x14ac:dyDescent="0.25">
      <c r="A600" s="4" t="s">
        <v>1179</v>
      </c>
    </row>
    <row r="601" spans="1:1" x14ac:dyDescent="0.25">
      <c r="A601" s="4" t="s">
        <v>1180</v>
      </c>
    </row>
    <row r="602" spans="1:1" x14ac:dyDescent="0.25">
      <c r="A602" s="4" t="s">
        <v>1181</v>
      </c>
    </row>
    <row r="603" spans="1:1" x14ac:dyDescent="0.25">
      <c r="A603" s="4" t="s">
        <v>1182</v>
      </c>
    </row>
    <row r="604" spans="1:1" x14ac:dyDescent="0.25">
      <c r="A604" s="4" t="s">
        <v>1183</v>
      </c>
    </row>
    <row r="605" spans="1:1" x14ac:dyDescent="0.25">
      <c r="A605" s="4" t="s">
        <v>1184</v>
      </c>
    </row>
    <row r="606" spans="1:1" x14ac:dyDescent="0.25">
      <c r="A606" s="4" t="s">
        <v>1185</v>
      </c>
    </row>
    <row r="607" spans="1:1" x14ac:dyDescent="0.25">
      <c r="A607" s="4" t="s">
        <v>1186</v>
      </c>
    </row>
    <row r="608" spans="1:1" x14ac:dyDescent="0.25">
      <c r="A608" s="4" t="s">
        <v>1187</v>
      </c>
    </row>
    <row r="609" spans="1:1" x14ac:dyDescent="0.25">
      <c r="A609" s="4" t="s">
        <v>1188</v>
      </c>
    </row>
    <row r="610" spans="1:1" x14ac:dyDescent="0.25">
      <c r="A610" s="4" t="s">
        <v>1189</v>
      </c>
    </row>
    <row r="611" spans="1:1" x14ac:dyDescent="0.25">
      <c r="A611" s="4" t="s">
        <v>1190</v>
      </c>
    </row>
    <row r="612" spans="1:1" x14ac:dyDescent="0.25">
      <c r="A612" s="4" t="s">
        <v>1191</v>
      </c>
    </row>
    <row r="613" spans="1:1" x14ac:dyDescent="0.25">
      <c r="A613" s="4" t="s">
        <v>1192</v>
      </c>
    </row>
    <row r="614" spans="1:1" x14ac:dyDescent="0.25">
      <c r="A614" s="4" t="s">
        <v>1193</v>
      </c>
    </row>
    <row r="615" spans="1:1" x14ac:dyDescent="0.25">
      <c r="A615" s="4" t="s">
        <v>1194</v>
      </c>
    </row>
    <row r="616" spans="1:1" x14ac:dyDescent="0.25">
      <c r="A616" s="4" t="s">
        <v>1195</v>
      </c>
    </row>
    <row r="617" spans="1:1" x14ac:dyDescent="0.25">
      <c r="A617" s="4" t="s">
        <v>1196</v>
      </c>
    </row>
    <row r="618" spans="1:1" x14ac:dyDescent="0.25">
      <c r="A618" s="4" t="s">
        <v>1197</v>
      </c>
    </row>
    <row r="619" spans="1:1" x14ac:dyDescent="0.25">
      <c r="A619" s="4" t="s">
        <v>1198</v>
      </c>
    </row>
    <row r="620" spans="1:1" x14ac:dyDescent="0.25">
      <c r="A620" s="4" t="s">
        <v>1199</v>
      </c>
    </row>
    <row r="621" spans="1:1" x14ac:dyDescent="0.25">
      <c r="A621" s="4" t="s">
        <v>1200</v>
      </c>
    </row>
    <row r="622" spans="1:1" x14ac:dyDescent="0.25">
      <c r="A622" s="4" t="s">
        <v>1201</v>
      </c>
    </row>
    <row r="623" spans="1:1" x14ac:dyDescent="0.25">
      <c r="A623" s="4" t="s">
        <v>1202</v>
      </c>
    </row>
    <row r="624" spans="1:1" x14ac:dyDescent="0.25">
      <c r="A624" s="4" t="s">
        <v>1203</v>
      </c>
    </row>
    <row r="625" spans="1:1" x14ac:dyDescent="0.25">
      <c r="A625" s="4" t="s">
        <v>1204</v>
      </c>
    </row>
    <row r="626" spans="1:1" x14ac:dyDescent="0.25">
      <c r="A626" s="4" t="s">
        <v>1205</v>
      </c>
    </row>
    <row r="627" spans="1:1" x14ac:dyDescent="0.25">
      <c r="A627" s="4" t="s">
        <v>1206</v>
      </c>
    </row>
    <row r="628" spans="1:1" x14ac:dyDescent="0.25">
      <c r="A628" s="4" t="s">
        <v>1207</v>
      </c>
    </row>
    <row r="629" spans="1:1" x14ac:dyDescent="0.25">
      <c r="A629" s="4" t="s">
        <v>1208</v>
      </c>
    </row>
    <row r="630" spans="1:1" x14ac:dyDescent="0.25">
      <c r="A630" s="4" t="s">
        <v>1209</v>
      </c>
    </row>
    <row r="631" spans="1:1" x14ac:dyDescent="0.25">
      <c r="A631" s="4" t="s">
        <v>1210</v>
      </c>
    </row>
    <row r="632" spans="1:1" x14ac:dyDescent="0.25">
      <c r="A632" s="4" t="s">
        <v>1211</v>
      </c>
    </row>
    <row r="633" spans="1:1" x14ac:dyDescent="0.25">
      <c r="A633" s="4" t="s">
        <v>1212</v>
      </c>
    </row>
    <row r="634" spans="1:1" x14ac:dyDescent="0.25">
      <c r="A634" s="4" t="s">
        <v>1213</v>
      </c>
    </row>
    <row r="635" spans="1:1" x14ac:dyDescent="0.25">
      <c r="A635" s="4" t="s">
        <v>1214</v>
      </c>
    </row>
    <row r="636" spans="1:1" x14ac:dyDescent="0.25">
      <c r="A636" s="4" t="s">
        <v>1215</v>
      </c>
    </row>
    <row r="637" spans="1:1" x14ac:dyDescent="0.25">
      <c r="A637" s="4" t="s">
        <v>1216</v>
      </c>
    </row>
    <row r="638" spans="1:1" x14ac:dyDescent="0.25">
      <c r="A638" s="4" t="s">
        <v>1217</v>
      </c>
    </row>
    <row r="639" spans="1:1" x14ac:dyDescent="0.25">
      <c r="A639" s="4" t="s">
        <v>1218</v>
      </c>
    </row>
    <row r="640" spans="1:1" x14ac:dyDescent="0.25">
      <c r="A640" s="4" t="s">
        <v>1219</v>
      </c>
    </row>
    <row r="641" spans="1:1" x14ac:dyDescent="0.25">
      <c r="A641" s="4" t="s">
        <v>1220</v>
      </c>
    </row>
    <row r="642" spans="1:1" x14ac:dyDescent="0.25">
      <c r="A642" s="4" t="s">
        <v>1221</v>
      </c>
    </row>
    <row r="643" spans="1:1" x14ac:dyDescent="0.25">
      <c r="A643" s="4" t="s">
        <v>1222</v>
      </c>
    </row>
    <row r="644" spans="1:1" x14ac:dyDescent="0.25">
      <c r="A644" s="4" t="s">
        <v>1223</v>
      </c>
    </row>
    <row r="645" spans="1:1" x14ac:dyDescent="0.25">
      <c r="A645" s="4" t="s">
        <v>1224</v>
      </c>
    </row>
    <row r="646" spans="1:1" x14ac:dyDescent="0.25">
      <c r="A646" s="4" t="s">
        <v>1225</v>
      </c>
    </row>
    <row r="647" spans="1:1" x14ac:dyDescent="0.25">
      <c r="A647" s="4" t="s">
        <v>1226</v>
      </c>
    </row>
    <row r="648" spans="1:1" x14ac:dyDescent="0.25">
      <c r="A648" s="4" t="s">
        <v>1227</v>
      </c>
    </row>
    <row r="649" spans="1:1" x14ac:dyDescent="0.25">
      <c r="A649" s="4" t="s">
        <v>1228</v>
      </c>
    </row>
    <row r="650" spans="1:1" x14ac:dyDescent="0.25">
      <c r="A650" s="4" t="s">
        <v>1229</v>
      </c>
    </row>
    <row r="651" spans="1:1" x14ac:dyDescent="0.25">
      <c r="A651" s="4" t="s">
        <v>1230</v>
      </c>
    </row>
    <row r="652" spans="1:1" x14ac:dyDescent="0.25">
      <c r="A652" s="4" t="s">
        <v>1231</v>
      </c>
    </row>
    <row r="653" spans="1:1" x14ac:dyDescent="0.25">
      <c r="A653" s="4" t="s">
        <v>1232</v>
      </c>
    </row>
    <row r="654" spans="1:1" x14ac:dyDescent="0.25">
      <c r="A654" s="4" t="s">
        <v>1233</v>
      </c>
    </row>
    <row r="655" spans="1:1" x14ac:dyDescent="0.25">
      <c r="A655" s="4" t="s">
        <v>1234</v>
      </c>
    </row>
    <row r="656" spans="1:1" x14ac:dyDescent="0.25">
      <c r="A656" s="4" t="s">
        <v>1235</v>
      </c>
    </row>
    <row r="657" spans="1:1" x14ac:dyDescent="0.25">
      <c r="A657" s="4" t="s">
        <v>1236</v>
      </c>
    </row>
    <row r="658" spans="1:1" x14ac:dyDescent="0.25">
      <c r="A658" s="4" t="s">
        <v>1237</v>
      </c>
    </row>
    <row r="659" spans="1:1" x14ac:dyDescent="0.25">
      <c r="A659" s="4" t="s">
        <v>1238</v>
      </c>
    </row>
    <row r="660" spans="1:1" x14ac:dyDescent="0.25">
      <c r="A660" s="4" t="s">
        <v>1239</v>
      </c>
    </row>
    <row r="661" spans="1:1" x14ac:dyDescent="0.25">
      <c r="A661" s="4" t="s">
        <v>1240</v>
      </c>
    </row>
    <row r="662" spans="1:1" x14ac:dyDescent="0.25">
      <c r="A662" s="4" t="s">
        <v>1241</v>
      </c>
    </row>
    <row r="663" spans="1:1" x14ac:dyDescent="0.25">
      <c r="A663" s="4" t="s">
        <v>1242</v>
      </c>
    </row>
    <row r="664" spans="1:1" x14ac:dyDescent="0.25">
      <c r="A664" s="4" t="s">
        <v>1243</v>
      </c>
    </row>
    <row r="665" spans="1:1" x14ac:dyDescent="0.25">
      <c r="A665" s="4" t="s">
        <v>1244</v>
      </c>
    </row>
    <row r="666" spans="1:1" x14ac:dyDescent="0.25">
      <c r="A666" s="4" t="s">
        <v>1245</v>
      </c>
    </row>
    <row r="667" spans="1:1" x14ac:dyDescent="0.25">
      <c r="A667" s="4" t="s">
        <v>1246</v>
      </c>
    </row>
    <row r="668" spans="1:1" x14ac:dyDescent="0.25">
      <c r="A668" s="4" t="s">
        <v>1247</v>
      </c>
    </row>
    <row r="669" spans="1:1" x14ac:dyDescent="0.25">
      <c r="A669" s="4" t="s">
        <v>1248</v>
      </c>
    </row>
    <row r="670" spans="1:1" x14ac:dyDescent="0.25">
      <c r="A670" s="4" t="s">
        <v>1249</v>
      </c>
    </row>
    <row r="671" spans="1:1" x14ac:dyDescent="0.25">
      <c r="A671" s="4" t="s">
        <v>1250</v>
      </c>
    </row>
    <row r="672" spans="1:1" x14ac:dyDescent="0.25">
      <c r="A672" s="4" t="s">
        <v>1251</v>
      </c>
    </row>
    <row r="673" spans="1:1" x14ac:dyDescent="0.25">
      <c r="A673" s="4" t="s">
        <v>1252</v>
      </c>
    </row>
    <row r="674" spans="1:1" x14ac:dyDescent="0.25">
      <c r="A674" s="4" t="s">
        <v>1253</v>
      </c>
    </row>
    <row r="675" spans="1:1" x14ac:dyDescent="0.25">
      <c r="A675" s="4" t="s">
        <v>1254</v>
      </c>
    </row>
    <row r="676" spans="1:1" x14ac:dyDescent="0.25">
      <c r="A676" s="4" t="s">
        <v>1255</v>
      </c>
    </row>
    <row r="677" spans="1:1" x14ac:dyDescent="0.25">
      <c r="A677" s="4" t="s">
        <v>1256</v>
      </c>
    </row>
    <row r="678" spans="1:1" x14ac:dyDescent="0.25">
      <c r="A678" s="4" t="s">
        <v>1257</v>
      </c>
    </row>
    <row r="679" spans="1:1" x14ac:dyDescent="0.25">
      <c r="A679" s="4" t="s">
        <v>1258</v>
      </c>
    </row>
    <row r="680" spans="1:1" x14ac:dyDescent="0.25">
      <c r="A680" s="4" t="s">
        <v>1259</v>
      </c>
    </row>
    <row r="681" spans="1:1" x14ac:dyDescent="0.25">
      <c r="A681" s="4" t="s">
        <v>1260</v>
      </c>
    </row>
    <row r="682" spans="1:1" x14ac:dyDescent="0.25">
      <c r="A682" s="4" t="s">
        <v>1261</v>
      </c>
    </row>
    <row r="683" spans="1:1" x14ac:dyDescent="0.25">
      <c r="A683" s="4" t="s">
        <v>1262</v>
      </c>
    </row>
    <row r="684" spans="1:1" x14ac:dyDescent="0.25">
      <c r="A684" s="4" t="s">
        <v>1263</v>
      </c>
    </row>
    <row r="685" spans="1:1" x14ac:dyDescent="0.25">
      <c r="A685" s="4" t="s">
        <v>1264</v>
      </c>
    </row>
    <row r="686" spans="1:1" x14ac:dyDescent="0.25">
      <c r="A686" s="4" t="s">
        <v>1265</v>
      </c>
    </row>
    <row r="687" spans="1:1" x14ac:dyDescent="0.25">
      <c r="A687" s="4" t="s">
        <v>1266</v>
      </c>
    </row>
    <row r="688" spans="1:1" x14ac:dyDescent="0.25">
      <c r="A688" s="4" t="s">
        <v>1267</v>
      </c>
    </row>
    <row r="689" spans="1:1" x14ac:dyDescent="0.25">
      <c r="A689" s="4" t="s">
        <v>1268</v>
      </c>
    </row>
    <row r="690" spans="1:1" x14ac:dyDescent="0.25">
      <c r="A690" s="4" t="s">
        <v>1269</v>
      </c>
    </row>
    <row r="691" spans="1:1" x14ac:dyDescent="0.25">
      <c r="A691" s="4" t="s">
        <v>1270</v>
      </c>
    </row>
    <row r="692" spans="1:1" x14ac:dyDescent="0.25">
      <c r="A692" s="4" t="s">
        <v>1271</v>
      </c>
    </row>
    <row r="693" spans="1:1" x14ac:dyDescent="0.25">
      <c r="A693" s="4" t="s">
        <v>1272</v>
      </c>
    </row>
    <row r="694" spans="1:1" x14ac:dyDescent="0.25">
      <c r="A694" s="4" t="s">
        <v>1273</v>
      </c>
    </row>
    <row r="695" spans="1:1" x14ac:dyDescent="0.25">
      <c r="A695" s="4" t="s">
        <v>1274</v>
      </c>
    </row>
    <row r="696" spans="1:1" x14ac:dyDescent="0.25">
      <c r="A696" s="4" t="s">
        <v>1275</v>
      </c>
    </row>
    <row r="697" spans="1:1" x14ac:dyDescent="0.25">
      <c r="A697" s="4" t="s">
        <v>1276</v>
      </c>
    </row>
    <row r="698" spans="1:1" x14ac:dyDescent="0.25">
      <c r="A698" s="4" t="s">
        <v>1277</v>
      </c>
    </row>
    <row r="699" spans="1:1" x14ac:dyDescent="0.25">
      <c r="A699" s="4" t="s">
        <v>1278</v>
      </c>
    </row>
    <row r="700" spans="1:1" x14ac:dyDescent="0.25">
      <c r="A700" s="4" t="s">
        <v>1279</v>
      </c>
    </row>
    <row r="701" spans="1:1" x14ac:dyDescent="0.25">
      <c r="A701" s="4" t="s">
        <v>1280</v>
      </c>
    </row>
    <row r="702" spans="1:1" x14ac:dyDescent="0.25">
      <c r="A702" s="4" t="s">
        <v>1281</v>
      </c>
    </row>
    <row r="703" spans="1:1" x14ac:dyDescent="0.25">
      <c r="A703" s="4" t="s">
        <v>1282</v>
      </c>
    </row>
    <row r="704" spans="1:1" x14ac:dyDescent="0.25">
      <c r="A704" s="4" t="s">
        <v>1283</v>
      </c>
    </row>
    <row r="705" spans="1:1" x14ac:dyDescent="0.25">
      <c r="A705" s="4" t="s">
        <v>1284</v>
      </c>
    </row>
    <row r="706" spans="1:1" x14ac:dyDescent="0.25">
      <c r="A706" s="4" t="s">
        <v>1285</v>
      </c>
    </row>
    <row r="707" spans="1:1" x14ac:dyDescent="0.25">
      <c r="A707" s="4" t="s">
        <v>1286</v>
      </c>
    </row>
    <row r="708" spans="1:1" x14ac:dyDescent="0.25">
      <c r="A708" s="4" t="s">
        <v>1287</v>
      </c>
    </row>
    <row r="709" spans="1:1" x14ac:dyDescent="0.25">
      <c r="A709" s="4" t="s">
        <v>1288</v>
      </c>
    </row>
    <row r="710" spans="1:1" x14ac:dyDescent="0.25">
      <c r="A710" s="4" t="s">
        <v>1289</v>
      </c>
    </row>
    <row r="711" spans="1:1" x14ac:dyDescent="0.25">
      <c r="A711" s="4" t="s">
        <v>1290</v>
      </c>
    </row>
    <row r="712" spans="1:1" x14ac:dyDescent="0.25">
      <c r="A712" s="4" t="s">
        <v>1291</v>
      </c>
    </row>
    <row r="713" spans="1:1" x14ac:dyDescent="0.25">
      <c r="A713" s="4" t="s">
        <v>1292</v>
      </c>
    </row>
    <row r="714" spans="1:1" x14ac:dyDescent="0.25">
      <c r="A714" s="4" t="s">
        <v>1293</v>
      </c>
    </row>
    <row r="715" spans="1:1" x14ac:dyDescent="0.25">
      <c r="A715" s="4" t="s">
        <v>1294</v>
      </c>
    </row>
    <row r="716" spans="1:1" x14ac:dyDescent="0.25">
      <c r="A716" s="4" t="s">
        <v>1295</v>
      </c>
    </row>
    <row r="717" spans="1:1" x14ac:dyDescent="0.25">
      <c r="A717" s="4" t="s">
        <v>1296</v>
      </c>
    </row>
    <row r="718" spans="1:1" x14ac:dyDescent="0.25">
      <c r="A718" s="4" t="s">
        <v>1297</v>
      </c>
    </row>
    <row r="719" spans="1:1" x14ac:dyDescent="0.25">
      <c r="A719" s="4" t="s">
        <v>1298</v>
      </c>
    </row>
    <row r="720" spans="1:1" x14ac:dyDescent="0.25">
      <c r="A720" s="4" t="s">
        <v>1299</v>
      </c>
    </row>
    <row r="721" spans="1:1" x14ac:dyDescent="0.25">
      <c r="A721" s="4" t="s">
        <v>1300</v>
      </c>
    </row>
    <row r="722" spans="1:1" x14ac:dyDescent="0.25">
      <c r="A722" s="4" t="s">
        <v>1301</v>
      </c>
    </row>
    <row r="723" spans="1:1" x14ac:dyDescent="0.25">
      <c r="A723" s="4" t="s">
        <v>1302</v>
      </c>
    </row>
    <row r="724" spans="1:1" x14ac:dyDescent="0.25">
      <c r="A724" s="4" t="s">
        <v>1303</v>
      </c>
    </row>
    <row r="725" spans="1:1" x14ac:dyDescent="0.25">
      <c r="A725" s="4" t="s">
        <v>1304</v>
      </c>
    </row>
    <row r="726" spans="1:1" x14ac:dyDescent="0.25">
      <c r="A726" s="4" t="s">
        <v>1305</v>
      </c>
    </row>
    <row r="727" spans="1:1" x14ac:dyDescent="0.25">
      <c r="A727" s="4" t="s">
        <v>1306</v>
      </c>
    </row>
    <row r="728" spans="1:1" x14ac:dyDescent="0.25">
      <c r="A728" s="4" t="s">
        <v>1307</v>
      </c>
    </row>
    <row r="729" spans="1:1" x14ac:dyDescent="0.25">
      <c r="A729" s="4" t="s">
        <v>1308</v>
      </c>
    </row>
    <row r="730" spans="1:1" x14ac:dyDescent="0.25">
      <c r="A730" s="4" t="s">
        <v>1309</v>
      </c>
    </row>
    <row r="731" spans="1:1" x14ac:dyDescent="0.25">
      <c r="A731" s="4" t="s">
        <v>1310</v>
      </c>
    </row>
    <row r="732" spans="1:1" x14ac:dyDescent="0.25">
      <c r="A732" s="4" t="s">
        <v>1311</v>
      </c>
    </row>
    <row r="733" spans="1:1" x14ac:dyDescent="0.25">
      <c r="A733" s="4" t="s">
        <v>1312</v>
      </c>
    </row>
    <row r="734" spans="1:1" x14ac:dyDescent="0.25">
      <c r="A734" s="4" t="s">
        <v>1313</v>
      </c>
    </row>
    <row r="735" spans="1:1" x14ac:dyDescent="0.25">
      <c r="A735" s="4" t="s">
        <v>1314</v>
      </c>
    </row>
    <row r="736" spans="1:1" x14ac:dyDescent="0.25">
      <c r="A736" s="4" t="s">
        <v>1315</v>
      </c>
    </row>
    <row r="737" spans="1:1" x14ac:dyDescent="0.25">
      <c r="A737" s="4" t="s">
        <v>1316</v>
      </c>
    </row>
    <row r="738" spans="1:1" x14ac:dyDescent="0.25">
      <c r="A738" s="4" t="s">
        <v>1317</v>
      </c>
    </row>
    <row r="739" spans="1:1" x14ac:dyDescent="0.25">
      <c r="A739" s="4" t="s">
        <v>1318</v>
      </c>
    </row>
    <row r="740" spans="1:1" x14ac:dyDescent="0.25">
      <c r="A740" s="4" t="s">
        <v>1319</v>
      </c>
    </row>
    <row r="741" spans="1:1" x14ac:dyDescent="0.25">
      <c r="A741" s="4" t="s">
        <v>1320</v>
      </c>
    </row>
    <row r="742" spans="1:1" x14ac:dyDescent="0.25">
      <c r="A742" s="4" t="s">
        <v>1321</v>
      </c>
    </row>
    <row r="743" spans="1:1" x14ac:dyDescent="0.25">
      <c r="A743" s="4" t="s">
        <v>1322</v>
      </c>
    </row>
    <row r="744" spans="1:1" x14ac:dyDescent="0.25">
      <c r="A744" s="4" t="s">
        <v>1323</v>
      </c>
    </row>
    <row r="745" spans="1:1" x14ac:dyDescent="0.25">
      <c r="A745" s="4" t="s">
        <v>1324</v>
      </c>
    </row>
    <row r="746" spans="1:1" x14ac:dyDescent="0.25">
      <c r="A746" s="4" t="s">
        <v>1325</v>
      </c>
    </row>
    <row r="747" spans="1:1" x14ac:dyDescent="0.25">
      <c r="A747" s="4" t="s">
        <v>1326</v>
      </c>
    </row>
    <row r="748" spans="1:1" x14ac:dyDescent="0.25">
      <c r="A748" s="4" t="s">
        <v>1327</v>
      </c>
    </row>
    <row r="749" spans="1:1" x14ac:dyDescent="0.25">
      <c r="A749" s="4" t="s">
        <v>1328</v>
      </c>
    </row>
    <row r="750" spans="1:1" x14ac:dyDescent="0.25">
      <c r="A750" s="4" t="s">
        <v>1329</v>
      </c>
    </row>
    <row r="751" spans="1:1" x14ac:dyDescent="0.25">
      <c r="A751" s="4" t="s">
        <v>1330</v>
      </c>
    </row>
    <row r="752" spans="1:1" x14ac:dyDescent="0.25">
      <c r="A752" s="4" t="s">
        <v>1331</v>
      </c>
    </row>
    <row r="753" spans="1:1" x14ac:dyDescent="0.25">
      <c r="A753" s="4" t="s">
        <v>1332</v>
      </c>
    </row>
    <row r="754" spans="1:1" x14ac:dyDescent="0.25">
      <c r="A754" s="4" t="s">
        <v>1333</v>
      </c>
    </row>
    <row r="755" spans="1:1" x14ac:dyDescent="0.25">
      <c r="A755" s="4" t="s">
        <v>1334</v>
      </c>
    </row>
    <row r="756" spans="1:1" x14ac:dyDescent="0.25">
      <c r="A756" s="4" t="s">
        <v>1335</v>
      </c>
    </row>
    <row r="757" spans="1:1" x14ac:dyDescent="0.25">
      <c r="A757" s="4" t="s">
        <v>1336</v>
      </c>
    </row>
    <row r="758" spans="1:1" x14ac:dyDescent="0.25">
      <c r="A758" s="4" t="s">
        <v>1337</v>
      </c>
    </row>
    <row r="759" spans="1:1" x14ac:dyDescent="0.25">
      <c r="A759" s="4" t="s">
        <v>1338</v>
      </c>
    </row>
    <row r="760" spans="1:1" x14ac:dyDescent="0.25">
      <c r="A760" s="4" t="s">
        <v>1339</v>
      </c>
    </row>
    <row r="761" spans="1:1" x14ac:dyDescent="0.25">
      <c r="A761" s="4" t="s">
        <v>1340</v>
      </c>
    </row>
    <row r="762" spans="1:1" x14ac:dyDescent="0.25">
      <c r="A762" s="4" t="s">
        <v>1341</v>
      </c>
    </row>
    <row r="763" spans="1:1" x14ac:dyDescent="0.25">
      <c r="A763" s="4" t="s">
        <v>1342</v>
      </c>
    </row>
    <row r="764" spans="1:1" x14ac:dyDescent="0.25">
      <c r="A764" s="4" t="s">
        <v>1343</v>
      </c>
    </row>
    <row r="765" spans="1:1" x14ac:dyDescent="0.25">
      <c r="A765" s="4" t="s">
        <v>1344</v>
      </c>
    </row>
    <row r="766" spans="1:1" x14ac:dyDescent="0.25">
      <c r="A766" s="4" t="s">
        <v>1345</v>
      </c>
    </row>
    <row r="767" spans="1:1" x14ac:dyDescent="0.25">
      <c r="A767" s="4" t="s">
        <v>1346</v>
      </c>
    </row>
    <row r="768" spans="1:1" x14ac:dyDescent="0.25">
      <c r="A768" s="4" t="s">
        <v>1347</v>
      </c>
    </row>
    <row r="769" spans="1:1" x14ac:dyDescent="0.25">
      <c r="A769" s="4" t="s">
        <v>1348</v>
      </c>
    </row>
    <row r="770" spans="1:1" x14ac:dyDescent="0.25">
      <c r="A770" s="4" t="s">
        <v>1349</v>
      </c>
    </row>
    <row r="771" spans="1:1" x14ac:dyDescent="0.25">
      <c r="A771" s="4" t="s">
        <v>1350</v>
      </c>
    </row>
    <row r="772" spans="1:1" x14ac:dyDescent="0.25">
      <c r="A772" s="4" t="s">
        <v>1351</v>
      </c>
    </row>
    <row r="773" spans="1:1" x14ac:dyDescent="0.25">
      <c r="A773" s="4" t="s">
        <v>1352</v>
      </c>
    </row>
    <row r="774" spans="1:1" x14ac:dyDescent="0.25">
      <c r="A774" s="4" t="s">
        <v>1353</v>
      </c>
    </row>
    <row r="775" spans="1:1" x14ac:dyDescent="0.25">
      <c r="A775" s="4" t="s">
        <v>1354</v>
      </c>
    </row>
    <row r="776" spans="1:1" x14ac:dyDescent="0.25">
      <c r="A776" s="4" t="s">
        <v>1355</v>
      </c>
    </row>
    <row r="777" spans="1:1" x14ac:dyDescent="0.25">
      <c r="A777" s="4" t="s">
        <v>1356</v>
      </c>
    </row>
    <row r="778" spans="1:1" x14ac:dyDescent="0.25">
      <c r="A778" s="4" t="s">
        <v>1357</v>
      </c>
    </row>
    <row r="779" spans="1:1" x14ac:dyDescent="0.25">
      <c r="A779" s="4" t="s">
        <v>1358</v>
      </c>
    </row>
    <row r="780" spans="1:1" x14ac:dyDescent="0.25">
      <c r="A780" s="4" t="s">
        <v>1359</v>
      </c>
    </row>
    <row r="781" spans="1:1" x14ac:dyDescent="0.25">
      <c r="A781" s="4" t="s">
        <v>1360</v>
      </c>
    </row>
    <row r="782" spans="1:1" x14ac:dyDescent="0.25">
      <c r="A782" s="4" t="s">
        <v>1361</v>
      </c>
    </row>
    <row r="783" spans="1:1" x14ac:dyDescent="0.25">
      <c r="A783" s="4" t="s">
        <v>1362</v>
      </c>
    </row>
    <row r="784" spans="1:1" x14ac:dyDescent="0.25">
      <c r="A784" s="4" t="s">
        <v>1363</v>
      </c>
    </row>
    <row r="785" spans="1:1" x14ac:dyDescent="0.25">
      <c r="A785" s="4" t="s">
        <v>1364</v>
      </c>
    </row>
    <row r="786" spans="1:1" x14ac:dyDescent="0.25">
      <c r="A786" s="4" t="s">
        <v>1365</v>
      </c>
    </row>
    <row r="787" spans="1:1" x14ac:dyDescent="0.25">
      <c r="A787" s="4" t="s">
        <v>1366</v>
      </c>
    </row>
    <row r="788" spans="1:1" x14ac:dyDescent="0.25">
      <c r="A788" s="4" t="s">
        <v>1367</v>
      </c>
    </row>
    <row r="789" spans="1:1" x14ac:dyDescent="0.25">
      <c r="A789" s="4" t="s">
        <v>1368</v>
      </c>
    </row>
    <row r="790" spans="1:1" x14ac:dyDescent="0.25">
      <c r="A790" s="4" t="s">
        <v>1369</v>
      </c>
    </row>
    <row r="791" spans="1:1" x14ac:dyDescent="0.25">
      <c r="A791" s="4" t="s">
        <v>1370</v>
      </c>
    </row>
    <row r="792" spans="1:1" x14ac:dyDescent="0.25">
      <c r="A792" s="4" t="s">
        <v>1371</v>
      </c>
    </row>
    <row r="793" spans="1:1" x14ac:dyDescent="0.25">
      <c r="A793" s="4" t="s">
        <v>1372</v>
      </c>
    </row>
    <row r="794" spans="1:1" x14ac:dyDescent="0.25">
      <c r="A794" s="4" t="s">
        <v>1373</v>
      </c>
    </row>
    <row r="795" spans="1:1" x14ac:dyDescent="0.25">
      <c r="A795" s="4" t="s">
        <v>1374</v>
      </c>
    </row>
    <row r="796" spans="1:1" x14ac:dyDescent="0.25">
      <c r="A796" s="4" t="s">
        <v>1375</v>
      </c>
    </row>
    <row r="797" spans="1:1" x14ac:dyDescent="0.25">
      <c r="A797" s="4" t="s">
        <v>1376</v>
      </c>
    </row>
    <row r="798" spans="1:1" x14ac:dyDescent="0.25">
      <c r="A798" s="4" t="s">
        <v>1377</v>
      </c>
    </row>
    <row r="799" spans="1:1" x14ac:dyDescent="0.25">
      <c r="A799" s="4" t="s">
        <v>1378</v>
      </c>
    </row>
    <row r="800" spans="1:1" x14ac:dyDescent="0.25">
      <c r="A800" s="4" t="s">
        <v>1379</v>
      </c>
    </row>
    <row r="801" spans="1:1" x14ac:dyDescent="0.25">
      <c r="A801" s="4" t="s">
        <v>1380</v>
      </c>
    </row>
    <row r="802" spans="1:1" x14ac:dyDescent="0.25">
      <c r="A802" s="4" t="s">
        <v>1381</v>
      </c>
    </row>
    <row r="803" spans="1:1" x14ac:dyDescent="0.25">
      <c r="A803" s="4" t="s">
        <v>1382</v>
      </c>
    </row>
    <row r="804" spans="1:1" x14ac:dyDescent="0.25">
      <c r="A804" s="4" t="s">
        <v>1383</v>
      </c>
    </row>
    <row r="805" spans="1:1" x14ac:dyDescent="0.25">
      <c r="A805" s="4" t="s">
        <v>1384</v>
      </c>
    </row>
    <row r="806" spans="1:1" x14ac:dyDescent="0.25">
      <c r="A806" s="4" t="s">
        <v>1385</v>
      </c>
    </row>
    <row r="807" spans="1:1" x14ac:dyDescent="0.25">
      <c r="A807" s="4" t="s">
        <v>1386</v>
      </c>
    </row>
    <row r="808" spans="1:1" x14ac:dyDescent="0.25">
      <c r="A808" s="4" t="s">
        <v>1387</v>
      </c>
    </row>
    <row r="809" spans="1:1" x14ac:dyDescent="0.25">
      <c r="A809" s="4" t="s">
        <v>1388</v>
      </c>
    </row>
    <row r="810" spans="1:1" x14ac:dyDescent="0.25">
      <c r="A810" s="4" t="s">
        <v>1389</v>
      </c>
    </row>
    <row r="811" spans="1:1" x14ac:dyDescent="0.25">
      <c r="A811" s="4" t="s">
        <v>1390</v>
      </c>
    </row>
    <row r="812" spans="1:1" x14ac:dyDescent="0.25">
      <c r="A812" s="4" t="s">
        <v>1391</v>
      </c>
    </row>
    <row r="813" spans="1:1" x14ac:dyDescent="0.25">
      <c r="A813" s="4" t="s">
        <v>1392</v>
      </c>
    </row>
    <row r="814" spans="1:1" x14ac:dyDescent="0.25">
      <c r="A814" s="4" t="s">
        <v>1393</v>
      </c>
    </row>
    <row r="815" spans="1:1" x14ac:dyDescent="0.25">
      <c r="A815" s="4" t="s">
        <v>1394</v>
      </c>
    </row>
    <row r="816" spans="1:1" x14ac:dyDescent="0.25">
      <c r="A816" s="4" t="s">
        <v>1395</v>
      </c>
    </row>
    <row r="817" spans="1:1" x14ac:dyDescent="0.25">
      <c r="A817" s="4" t="s">
        <v>1396</v>
      </c>
    </row>
    <row r="818" spans="1:1" x14ac:dyDescent="0.25">
      <c r="A818" s="4" t="s">
        <v>1397</v>
      </c>
    </row>
    <row r="819" spans="1:1" x14ac:dyDescent="0.25">
      <c r="A819" s="4" t="s">
        <v>1398</v>
      </c>
    </row>
    <row r="820" spans="1:1" x14ac:dyDescent="0.25">
      <c r="A820" s="4" t="s">
        <v>1399</v>
      </c>
    </row>
    <row r="821" spans="1:1" x14ac:dyDescent="0.25">
      <c r="A821" s="4" t="s">
        <v>1400</v>
      </c>
    </row>
    <row r="822" spans="1:1" x14ac:dyDescent="0.25">
      <c r="A822" s="4" t="s">
        <v>1401</v>
      </c>
    </row>
    <row r="823" spans="1:1" x14ac:dyDescent="0.25">
      <c r="A823" s="4" t="s">
        <v>1402</v>
      </c>
    </row>
    <row r="824" spans="1:1" x14ac:dyDescent="0.25">
      <c r="A824" s="4" t="s">
        <v>1403</v>
      </c>
    </row>
    <row r="825" spans="1:1" x14ac:dyDescent="0.25">
      <c r="A825" s="4" t="s">
        <v>1404</v>
      </c>
    </row>
    <row r="826" spans="1:1" x14ac:dyDescent="0.25">
      <c r="A826" s="4" t="s">
        <v>1405</v>
      </c>
    </row>
    <row r="827" spans="1:1" x14ac:dyDescent="0.25">
      <c r="A827" s="4" t="s">
        <v>1406</v>
      </c>
    </row>
    <row r="828" spans="1:1" x14ac:dyDescent="0.25">
      <c r="A828" s="4" t="s">
        <v>1407</v>
      </c>
    </row>
    <row r="829" spans="1:1" x14ac:dyDescent="0.25">
      <c r="A829" s="4" t="s">
        <v>1408</v>
      </c>
    </row>
    <row r="830" spans="1:1" x14ac:dyDescent="0.25">
      <c r="A830" s="4" t="s">
        <v>1409</v>
      </c>
    </row>
    <row r="831" spans="1:1" x14ac:dyDescent="0.25">
      <c r="A831" s="4" t="s">
        <v>1410</v>
      </c>
    </row>
    <row r="832" spans="1:1" x14ac:dyDescent="0.25">
      <c r="A832" s="4" t="s">
        <v>1411</v>
      </c>
    </row>
    <row r="833" spans="1:1" x14ac:dyDescent="0.25">
      <c r="A833" s="4" t="s">
        <v>1412</v>
      </c>
    </row>
    <row r="834" spans="1:1" x14ac:dyDescent="0.25">
      <c r="A834" s="4" t="s">
        <v>1413</v>
      </c>
    </row>
    <row r="835" spans="1:1" x14ac:dyDescent="0.25">
      <c r="A835" s="4" t="s">
        <v>1414</v>
      </c>
    </row>
    <row r="836" spans="1:1" x14ac:dyDescent="0.25">
      <c r="A836" s="4" t="s">
        <v>1415</v>
      </c>
    </row>
    <row r="837" spans="1:1" x14ac:dyDescent="0.25">
      <c r="A837" s="4" t="s">
        <v>1416</v>
      </c>
    </row>
    <row r="838" spans="1:1" x14ac:dyDescent="0.25">
      <c r="A838" s="4" t="s">
        <v>1417</v>
      </c>
    </row>
    <row r="839" spans="1:1" x14ac:dyDescent="0.25">
      <c r="A839" s="4" t="s">
        <v>1418</v>
      </c>
    </row>
    <row r="840" spans="1:1" x14ac:dyDescent="0.25">
      <c r="A840" s="4" t="s">
        <v>1419</v>
      </c>
    </row>
    <row r="841" spans="1:1" x14ac:dyDescent="0.25">
      <c r="A841" s="4" t="s">
        <v>1420</v>
      </c>
    </row>
    <row r="842" spans="1:1" x14ac:dyDescent="0.25">
      <c r="A842" s="4" t="s">
        <v>1421</v>
      </c>
    </row>
    <row r="843" spans="1:1" x14ac:dyDescent="0.25">
      <c r="A843" s="4" t="s">
        <v>1422</v>
      </c>
    </row>
    <row r="844" spans="1:1" x14ac:dyDescent="0.25">
      <c r="A844" s="4" t="s">
        <v>1423</v>
      </c>
    </row>
    <row r="845" spans="1:1" x14ac:dyDescent="0.25">
      <c r="A845" s="4" t="s">
        <v>1424</v>
      </c>
    </row>
    <row r="846" spans="1:1" x14ac:dyDescent="0.25">
      <c r="A846" s="4" t="s">
        <v>1425</v>
      </c>
    </row>
    <row r="847" spans="1:1" x14ac:dyDescent="0.25">
      <c r="A847" s="4" t="s">
        <v>1426</v>
      </c>
    </row>
    <row r="848" spans="1:1" x14ac:dyDescent="0.25">
      <c r="A848" s="4" t="s">
        <v>1427</v>
      </c>
    </row>
    <row r="849" spans="1:1" x14ac:dyDescent="0.25">
      <c r="A849" s="4" t="s">
        <v>1428</v>
      </c>
    </row>
    <row r="850" spans="1:1" x14ac:dyDescent="0.25">
      <c r="A850" s="4" t="s">
        <v>1429</v>
      </c>
    </row>
    <row r="851" spans="1:1" x14ac:dyDescent="0.25">
      <c r="A851" s="4" t="s">
        <v>1430</v>
      </c>
    </row>
    <row r="852" spans="1:1" x14ac:dyDescent="0.25">
      <c r="A852" s="4" t="s">
        <v>1431</v>
      </c>
    </row>
    <row r="853" spans="1:1" x14ac:dyDescent="0.25">
      <c r="A853" s="4" t="s">
        <v>1432</v>
      </c>
    </row>
    <row r="854" spans="1:1" x14ac:dyDescent="0.25">
      <c r="A854" s="4" t="s">
        <v>1433</v>
      </c>
    </row>
    <row r="855" spans="1:1" x14ac:dyDescent="0.25">
      <c r="A855" s="4" t="s">
        <v>1434</v>
      </c>
    </row>
    <row r="856" spans="1:1" x14ac:dyDescent="0.25">
      <c r="A856" s="4" t="s">
        <v>1435</v>
      </c>
    </row>
    <row r="857" spans="1:1" x14ac:dyDescent="0.25">
      <c r="A857" s="4" t="s">
        <v>1436</v>
      </c>
    </row>
    <row r="858" spans="1:1" x14ac:dyDescent="0.25">
      <c r="A858" s="4" t="s">
        <v>1437</v>
      </c>
    </row>
    <row r="859" spans="1:1" x14ac:dyDescent="0.25">
      <c r="A859" s="4" t="s">
        <v>1438</v>
      </c>
    </row>
    <row r="860" spans="1:1" x14ac:dyDescent="0.25">
      <c r="A860" s="4" t="s">
        <v>1439</v>
      </c>
    </row>
    <row r="861" spans="1:1" x14ac:dyDescent="0.25">
      <c r="A861" s="4" t="s">
        <v>1440</v>
      </c>
    </row>
    <row r="862" spans="1:1" x14ac:dyDescent="0.25">
      <c r="A862" s="4" t="s">
        <v>1441</v>
      </c>
    </row>
    <row r="863" spans="1:1" x14ac:dyDescent="0.25">
      <c r="A863" s="4" t="s">
        <v>1442</v>
      </c>
    </row>
    <row r="864" spans="1:1" x14ac:dyDescent="0.25">
      <c r="A864" s="4" t="s">
        <v>1443</v>
      </c>
    </row>
    <row r="865" spans="1:1" x14ac:dyDescent="0.25">
      <c r="A865" s="4" t="s">
        <v>1444</v>
      </c>
    </row>
    <row r="866" spans="1:1" x14ac:dyDescent="0.25">
      <c r="A866" s="4" t="s">
        <v>1445</v>
      </c>
    </row>
    <row r="867" spans="1:1" x14ac:dyDescent="0.25">
      <c r="A867" s="4" t="s">
        <v>1446</v>
      </c>
    </row>
    <row r="868" spans="1:1" x14ac:dyDescent="0.25">
      <c r="A868" s="4" t="s">
        <v>1447</v>
      </c>
    </row>
    <row r="869" spans="1:1" x14ac:dyDescent="0.25">
      <c r="A869" s="4" t="s">
        <v>1448</v>
      </c>
    </row>
    <row r="870" spans="1:1" x14ac:dyDescent="0.25">
      <c r="A870" s="4" t="s">
        <v>1449</v>
      </c>
    </row>
    <row r="871" spans="1:1" x14ac:dyDescent="0.25">
      <c r="A871" s="4" t="s">
        <v>1450</v>
      </c>
    </row>
    <row r="872" spans="1:1" x14ac:dyDescent="0.25">
      <c r="A872" s="4" t="s">
        <v>1451</v>
      </c>
    </row>
    <row r="873" spans="1:1" x14ac:dyDescent="0.25">
      <c r="A873" s="4" t="s">
        <v>1452</v>
      </c>
    </row>
    <row r="874" spans="1:1" x14ac:dyDescent="0.25">
      <c r="A874" s="4" t="s">
        <v>1453</v>
      </c>
    </row>
    <row r="875" spans="1:1" x14ac:dyDescent="0.25">
      <c r="A875" s="4" t="s">
        <v>1454</v>
      </c>
    </row>
    <row r="876" spans="1:1" x14ac:dyDescent="0.25">
      <c r="A876" s="4" t="s">
        <v>1455</v>
      </c>
    </row>
    <row r="877" spans="1:1" x14ac:dyDescent="0.25">
      <c r="A877" s="4" t="s">
        <v>1456</v>
      </c>
    </row>
    <row r="878" spans="1:1" x14ac:dyDescent="0.25">
      <c r="A878" s="4" t="s">
        <v>1457</v>
      </c>
    </row>
    <row r="879" spans="1:1" x14ac:dyDescent="0.25">
      <c r="A879" s="4" t="s">
        <v>1458</v>
      </c>
    </row>
    <row r="880" spans="1:1" x14ac:dyDescent="0.25">
      <c r="A880" s="4" t="s">
        <v>1459</v>
      </c>
    </row>
    <row r="881" spans="1:1" x14ac:dyDescent="0.25">
      <c r="A881" s="4" t="s">
        <v>1460</v>
      </c>
    </row>
    <row r="882" spans="1:1" x14ac:dyDescent="0.25">
      <c r="A882" s="4" t="s">
        <v>1461</v>
      </c>
    </row>
    <row r="883" spans="1:1" x14ac:dyDescent="0.25">
      <c r="A883" s="4" t="s">
        <v>1462</v>
      </c>
    </row>
    <row r="884" spans="1:1" x14ac:dyDescent="0.25">
      <c r="A884" s="4" t="s">
        <v>1463</v>
      </c>
    </row>
    <row r="885" spans="1:1" x14ac:dyDescent="0.25">
      <c r="A885" s="4" t="s">
        <v>1464</v>
      </c>
    </row>
    <row r="886" spans="1:1" x14ac:dyDescent="0.25">
      <c r="A886" s="4" t="s">
        <v>1465</v>
      </c>
    </row>
    <row r="887" spans="1:1" x14ac:dyDescent="0.25">
      <c r="A887" s="4" t="s">
        <v>1466</v>
      </c>
    </row>
    <row r="888" spans="1:1" x14ac:dyDescent="0.25">
      <c r="A888" s="4" t="s">
        <v>1467</v>
      </c>
    </row>
    <row r="889" spans="1:1" x14ac:dyDescent="0.25">
      <c r="A889" s="4" t="s">
        <v>1468</v>
      </c>
    </row>
    <row r="890" spans="1:1" x14ac:dyDescent="0.25">
      <c r="A890" s="4" t="s">
        <v>1469</v>
      </c>
    </row>
    <row r="891" spans="1:1" x14ac:dyDescent="0.25">
      <c r="A891" s="4" t="s">
        <v>1470</v>
      </c>
    </row>
    <row r="892" spans="1:1" x14ac:dyDescent="0.25">
      <c r="A892" s="4" t="s">
        <v>1471</v>
      </c>
    </row>
    <row r="893" spans="1:1" x14ac:dyDescent="0.25">
      <c r="A893" s="4" t="s">
        <v>1472</v>
      </c>
    </row>
    <row r="894" spans="1:1" x14ac:dyDescent="0.25">
      <c r="A894" s="4" t="s">
        <v>1473</v>
      </c>
    </row>
    <row r="895" spans="1:1" x14ac:dyDescent="0.25">
      <c r="A895" s="4" t="s">
        <v>1474</v>
      </c>
    </row>
    <row r="896" spans="1:1" x14ac:dyDescent="0.25">
      <c r="A896" s="4" t="s">
        <v>1475</v>
      </c>
    </row>
    <row r="897" spans="1:1" x14ac:dyDescent="0.25">
      <c r="A897" s="4" t="s">
        <v>1476</v>
      </c>
    </row>
    <row r="898" spans="1:1" x14ac:dyDescent="0.25">
      <c r="A898" s="4" t="s">
        <v>1477</v>
      </c>
    </row>
    <row r="899" spans="1:1" x14ac:dyDescent="0.25">
      <c r="A899" s="4" t="s">
        <v>1478</v>
      </c>
    </row>
    <row r="900" spans="1:1" x14ac:dyDescent="0.25">
      <c r="A900" s="4" t="s">
        <v>1479</v>
      </c>
    </row>
    <row r="901" spans="1:1" x14ac:dyDescent="0.25">
      <c r="A901" s="4" t="s">
        <v>1480</v>
      </c>
    </row>
    <row r="902" spans="1:1" x14ac:dyDescent="0.25">
      <c r="A902" s="4" t="s">
        <v>1481</v>
      </c>
    </row>
    <row r="903" spans="1:1" x14ac:dyDescent="0.25">
      <c r="A903" s="4" t="s">
        <v>1482</v>
      </c>
    </row>
    <row r="904" spans="1:1" x14ac:dyDescent="0.25">
      <c r="A904" s="4" t="s">
        <v>1483</v>
      </c>
    </row>
    <row r="905" spans="1:1" x14ac:dyDescent="0.25">
      <c r="A905" s="4" t="s">
        <v>1484</v>
      </c>
    </row>
    <row r="906" spans="1:1" x14ac:dyDescent="0.25">
      <c r="A906" s="4" t="s">
        <v>1485</v>
      </c>
    </row>
    <row r="907" spans="1:1" x14ac:dyDescent="0.25">
      <c r="A907" s="4" t="s">
        <v>1486</v>
      </c>
    </row>
    <row r="908" spans="1:1" x14ac:dyDescent="0.25">
      <c r="A908" s="4" t="s">
        <v>1487</v>
      </c>
    </row>
    <row r="909" spans="1:1" x14ac:dyDescent="0.25">
      <c r="A909" s="4" t="s">
        <v>1488</v>
      </c>
    </row>
    <row r="910" spans="1:1" x14ac:dyDescent="0.25">
      <c r="A910" s="4" t="s">
        <v>1489</v>
      </c>
    </row>
    <row r="911" spans="1:1" x14ac:dyDescent="0.25">
      <c r="A911" s="4" t="s">
        <v>1490</v>
      </c>
    </row>
    <row r="912" spans="1:1" x14ac:dyDescent="0.25">
      <c r="A912" s="4" t="s">
        <v>1491</v>
      </c>
    </row>
    <row r="913" spans="1:1" x14ac:dyDescent="0.25">
      <c r="A913" s="4" t="s">
        <v>1492</v>
      </c>
    </row>
    <row r="914" spans="1:1" x14ac:dyDescent="0.25">
      <c r="A914" s="4" t="s">
        <v>1493</v>
      </c>
    </row>
    <row r="915" spans="1:1" x14ac:dyDescent="0.25">
      <c r="A915" s="4" t="s">
        <v>1494</v>
      </c>
    </row>
    <row r="916" spans="1:1" x14ac:dyDescent="0.25">
      <c r="A916" s="4" t="s">
        <v>1495</v>
      </c>
    </row>
    <row r="917" spans="1:1" x14ac:dyDescent="0.25">
      <c r="A917" s="4" t="s">
        <v>1496</v>
      </c>
    </row>
    <row r="918" spans="1:1" x14ac:dyDescent="0.25">
      <c r="A918" s="4" t="s">
        <v>1497</v>
      </c>
    </row>
    <row r="919" spans="1:1" x14ac:dyDescent="0.25">
      <c r="A919" s="4" t="s">
        <v>1498</v>
      </c>
    </row>
    <row r="920" spans="1:1" x14ac:dyDescent="0.25">
      <c r="A920" s="4" t="s">
        <v>1499</v>
      </c>
    </row>
    <row r="921" spans="1:1" x14ac:dyDescent="0.25">
      <c r="A921" s="4" t="s">
        <v>1500</v>
      </c>
    </row>
    <row r="922" spans="1:1" x14ac:dyDescent="0.25">
      <c r="A922" s="4" t="s">
        <v>1501</v>
      </c>
    </row>
    <row r="923" spans="1:1" x14ac:dyDescent="0.25">
      <c r="A923" s="4" t="s">
        <v>1502</v>
      </c>
    </row>
    <row r="924" spans="1:1" x14ac:dyDescent="0.25">
      <c r="A924" s="4" t="s">
        <v>1503</v>
      </c>
    </row>
    <row r="925" spans="1:1" x14ac:dyDescent="0.25">
      <c r="A925" s="4" t="s">
        <v>1504</v>
      </c>
    </row>
    <row r="926" spans="1:1" x14ac:dyDescent="0.25">
      <c r="A926" s="4" t="s">
        <v>1505</v>
      </c>
    </row>
    <row r="927" spans="1:1" x14ac:dyDescent="0.25">
      <c r="A927" s="4" t="s">
        <v>1506</v>
      </c>
    </row>
    <row r="928" spans="1:1" x14ac:dyDescent="0.25">
      <c r="A928" s="4" t="s">
        <v>1507</v>
      </c>
    </row>
    <row r="929" spans="1:1" x14ac:dyDescent="0.25">
      <c r="A929" s="4" t="s">
        <v>1508</v>
      </c>
    </row>
    <row r="930" spans="1:1" x14ac:dyDescent="0.25">
      <c r="A930" s="4" t="s">
        <v>1509</v>
      </c>
    </row>
    <row r="931" spans="1:1" x14ac:dyDescent="0.25">
      <c r="A931" s="4" t="s">
        <v>1510</v>
      </c>
    </row>
    <row r="932" spans="1:1" x14ac:dyDescent="0.25">
      <c r="A932" s="4" t="s">
        <v>1511</v>
      </c>
    </row>
    <row r="933" spans="1:1" x14ac:dyDescent="0.25">
      <c r="A933" s="4" t="s">
        <v>1512</v>
      </c>
    </row>
    <row r="934" spans="1:1" x14ac:dyDescent="0.25">
      <c r="A934" s="4" t="s">
        <v>1513</v>
      </c>
    </row>
    <row r="935" spans="1:1" x14ac:dyDescent="0.25">
      <c r="A935" s="4" t="s">
        <v>1514</v>
      </c>
    </row>
    <row r="936" spans="1:1" x14ac:dyDescent="0.25">
      <c r="A936" s="4" t="s">
        <v>1515</v>
      </c>
    </row>
    <row r="937" spans="1:1" x14ac:dyDescent="0.25">
      <c r="A937" s="4" t="s">
        <v>1516</v>
      </c>
    </row>
    <row r="938" spans="1:1" x14ac:dyDescent="0.25">
      <c r="A938" s="4" t="s">
        <v>1517</v>
      </c>
    </row>
    <row r="939" spans="1:1" x14ac:dyDescent="0.25">
      <c r="A939" s="4" t="s">
        <v>1518</v>
      </c>
    </row>
    <row r="940" spans="1:1" x14ac:dyDescent="0.25">
      <c r="A940" s="4" t="s">
        <v>1519</v>
      </c>
    </row>
    <row r="941" spans="1:1" x14ac:dyDescent="0.25">
      <c r="A941" s="4" t="s">
        <v>1520</v>
      </c>
    </row>
    <row r="942" spans="1:1" x14ac:dyDescent="0.25">
      <c r="A942" s="4" t="s">
        <v>1521</v>
      </c>
    </row>
    <row r="943" spans="1:1" x14ac:dyDescent="0.25">
      <c r="A943" s="4" t="s">
        <v>1522</v>
      </c>
    </row>
    <row r="944" spans="1:1" x14ac:dyDescent="0.25">
      <c r="A944" s="4" t="s">
        <v>1523</v>
      </c>
    </row>
    <row r="945" spans="1:1" x14ac:dyDescent="0.25">
      <c r="A945" s="4" t="s">
        <v>1524</v>
      </c>
    </row>
    <row r="946" spans="1:1" x14ac:dyDescent="0.25">
      <c r="A946" s="4" t="s">
        <v>1525</v>
      </c>
    </row>
    <row r="947" spans="1:1" x14ac:dyDescent="0.25">
      <c r="A947" s="4" t="s">
        <v>1526</v>
      </c>
    </row>
    <row r="948" spans="1:1" x14ac:dyDescent="0.25">
      <c r="A948" s="4" t="s">
        <v>1527</v>
      </c>
    </row>
    <row r="949" spans="1:1" x14ac:dyDescent="0.25">
      <c r="A949" s="4" t="s">
        <v>1528</v>
      </c>
    </row>
    <row r="950" spans="1:1" x14ac:dyDescent="0.25">
      <c r="A950" s="4" t="s">
        <v>1529</v>
      </c>
    </row>
    <row r="951" spans="1:1" x14ac:dyDescent="0.25">
      <c r="A951" s="4" t="s">
        <v>1530</v>
      </c>
    </row>
    <row r="952" spans="1:1" x14ac:dyDescent="0.25">
      <c r="A952" s="4" t="s">
        <v>1531</v>
      </c>
    </row>
    <row r="953" spans="1:1" x14ac:dyDescent="0.25">
      <c r="A953" s="4" t="s">
        <v>1532</v>
      </c>
    </row>
    <row r="954" spans="1:1" x14ac:dyDescent="0.25">
      <c r="A954" s="4" t="s">
        <v>1533</v>
      </c>
    </row>
    <row r="955" spans="1:1" x14ac:dyDescent="0.25">
      <c r="A955" s="4" t="s">
        <v>1534</v>
      </c>
    </row>
    <row r="956" spans="1:1" x14ac:dyDescent="0.25">
      <c r="A956" s="4" t="s">
        <v>1535</v>
      </c>
    </row>
    <row r="957" spans="1:1" x14ac:dyDescent="0.25">
      <c r="A957" s="4" t="s">
        <v>1536</v>
      </c>
    </row>
    <row r="958" spans="1:1" x14ac:dyDescent="0.25">
      <c r="A958" s="4" t="s">
        <v>1537</v>
      </c>
    </row>
    <row r="959" spans="1:1" x14ac:dyDescent="0.25">
      <c r="A959" s="4" t="s">
        <v>1538</v>
      </c>
    </row>
    <row r="960" spans="1:1" x14ac:dyDescent="0.25">
      <c r="A960" s="4" t="s">
        <v>1539</v>
      </c>
    </row>
    <row r="961" spans="1:1" x14ac:dyDescent="0.25">
      <c r="A961" s="4" t="s">
        <v>1540</v>
      </c>
    </row>
    <row r="962" spans="1:1" x14ac:dyDescent="0.25">
      <c r="A962" s="4" t="s">
        <v>1541</v>
      </c>
    </row>
    <row r="963" spans="1:1" x14ac:dyDescent="0.25">
      <c r="A963" s="4" t="s">
        <v>1542</v>
      </c>
    </row>
    <row r="964" spans="1:1" x14ac:dyDescent="0.25">
      <c r="A964" s="4" t="s">
        <v>1543</v>
      </c>
    </row>
    <row r="965" spans="1:1" x14ac:dyDescent="0.25">
      <c r="A965" s="4" t="s">
        <v>1544</v>
      </c>
    </row>
    <row r="966" spans="1:1" x14ac:dyDescent="0.25">
      <c r="A966" s="4" t="s">
        <v>1545</v>
      </c>
    </row>
    <row r="967" spans="1:1" x14ac:dyDescent="0.25">
      <c r="A967" s="4" t="s">
        <v>1546</v>
      </c>
    </row>
    <row r="968" spans="1:1" x14ac:dyDescent="0.25">
      <c r="A968" s="4" t="s">
        <v>1547</v>
      </c>
    </row>
    <row r="969" spans="1:1" x14ac:dyDescent="0.25">
      <c r="A969" s="4" t="s">
        <v>1548</v>
      </c>
    </row>
    <row r="970" spans="1:1" x14ac:dyDescent="0.25">
      <c r="A970" s="4" t="s">
        <v>1549</v>
      </c>
    </row>
    <row r="971" spans="1:1" x14ac:dyDescent="0.25">
      <c r="A971" s="4" t="s">
        <v>1550</v>
      </c>
    </row>
    <row r="972" spans="1:1" x14ac:dyDescent="0.25">
      <c r="A972" s="4" t="s">
        <v>1551</v>
      </c>
    </row>
    <row r="973" spans="1:1" x14ac:dyDescent="0.25">
      <c r="A973" s="4" t="s">
        <v>1552</v>
      </c>
    </row>
    <row r="974" spans="1:1" x14ac:dyDescent="0.25">
      <c r="A974" s="4" t="s">
        <v>1553</v>
      </c>
    </row>
    <row r="975" spans="1:1" x14ac:dyDescent="0.25">
      <c r="A975" s="4" t="s">
        <v>1554</v>
      </c>
    </row>
    <row r="976" spans="1:1" x14ac:dyDescent="0.25">
      <c r="A976" s="4" t="s">
        <v>1555</v>
      </c>
    </row>
    <row r="977" spans="1:1" x14ac:dyDescent="0.25">
      <c r="A977" s="4" t="s">
        <v>1556</v>
      </c>
    </row>
    <row r="978" spans="1:1" x14ac:dyDescent="0.25">
      <c r="A978" s="4" t="s">
        <v>1557</v>
      </c>
    </row>
    <row r="979" spans="1:1" x14ac:dyDescent="0.25">
      <c r="A979" s="4" t="s">
        <v>1558</v>
      </c>
    </row>
    <row r="980" spans="1:1" x14ac:dyDescent="0.25">
      <c r="A980" s="4" t="s">
        <v>1559</v>
      </c>
    </row>
    <row r="981" spans="1:1" x14ac:dyDescent="0.25">
      <c r="A981" s="4" t="s">
        <v>1560</v>
      </c>
    </row>
    <row r="982" spans="1:1" x14ac:dyDescent="0.25">
      <c r="A982" s="4" t="s">
        <v>1561</v>
      </c>
    </row>
    <row r="983" spans="1:1" x14ac:dyDescent="0.25">
      <c r="A983" s="4" t="s">
        <v>1562</v>
      </c>
    </row>
    <row r="984" spans="1:1" x14ac:dyDescent="0.25">
      <c r="A984" s="4" t="s">
        <v>1563</v>
      </c>
    </row>
    <row r="985" spans="1:1" x14ac:dyDescent="0.25">
      <c r="A985" s="4" t="s">
        <v>1564</v>
      </c>
    </row>
    <row r="986" spans="1:1" x14ac:dyDescent="0.25">
      <c r="A986" s="4" t="s">
        <v>1565</v>
      </c>
    </row>
    <row r="987" spans="1:1" x14ac:dyDescent="0.25">
      <c r="A987" s="4" t="s">
        <v>1566</v>
      </c>
    </row>
    <row r="988" spans="1:1" x14ac:dyDescent="0.25">
      <c r="A988" s="4" t="s">
        <v>1567</v>
      </c>
    </row>
    <row r="989" spans="1:1" x14ac:dyDescent="0.25">
      <c r="A989" s="4" t="s">
        <v>1568</v>
      </c>
    </row>
    <row r="990" spans="1:1" x14ac:dyDescent="0.25">
      <c r="A990" s="4" t="s">
        <v>1569</v>
      </c>
    </row>
    <row r="991" spans="1:1" x14ac:dyDescent="0.25">
      <c r="A991" s="4" t="s">
        <v>1570</v>
      </c>
    </row>
    <row r="992" spans="1:1" x14ac:dyDescent="0.25">
      <c r="A992" s="4" t="s">
        <v>1571</v>
      </c>
    </row>
    <row r="993" spans="1:1" x14ac:dyDescent="0.25">
      <c r="A993" s="4" t="s">
        <v>1572</v>
      </c>
    </row>
    <row r="994" spans="1:1" x14ac:dyDescent="0.25">
      <c r="A994" s="4" t="s">
        <v>1573</v>
      </c>
    </row>
    <row r="995" spans="1:1" x14ac:dyDescent="0.25">
      <c r="A995" s="4" t="s">
        <v>1574</v>
      </c>
    </row>
    <row r="996" spans="1:1" x14ac:dyDescent="0.25">
      <c r="A996" s="4" t="s">
        <v>1575</v>
      </c>
    </row>
    <row r="997" spans="1:1" x14ac:dyDescent="0.25">
      <c r="A997" s="4" t="s">
        <v>1576</v>
      </c>
    </row>
    <row r="998" spans="1:1" x14ac:dyDescent="0.25">
      <c r="A998" s="4" t="s">
        <v>1577</v>
      </c>
    </row>
    <row r="999" spans="1:1" x14ac:dyDescent="0.25">
      <c r="A999" s="4" t="s">
        <v>1578</v>
      </c>
    </row>
    <row r="1000" spans="1:1" x14ac:dyDescent="0.25">
      <c r="A1000" s="4" t="s">
        <v>1579</v>
      </c>
    </row>
    <row r="1001" spans="1:1" x14ac:dyDescent="0.25">
      <c r="A1001" s="4" t="s">
        <v>1580</v>
      </c>
    </row>
    <row r="1002" spans="1:1" x14ac:dyDescent="0.25">
      <c r="A1002" s="4" t="s">
        <v>1581</v>
      </c>
    </row>
    <row r="1003" spans="1:1" x14ac:dyDescent="0.25">
      <c r="A1003" s="4" t="s">
        <v>1582</v>
      </c>
    </row>
    <row r="1004" spans="1:1" x14ac:dyDescent="0.25">
      <c r="A1004" s="4" t="s">
        <v>1583</v>
      </c>
    </row>
    <row r="1005" spans="1:1" x14ac:dyDescent="0.25">
      <c r="A1005" s="4" t="s">
        <v>1584</v>
      </c>
    </row>
    <row r="1006" spans="1:1" x14ac:dyDescent="0.25">
      <c r="A1006" s="4" t="s">
        <v>1585</v>
      </c>
    </row>
    <row r="1007" spans="1:1" x14ac:dyDescent="0.25">
      <c r="A1007" s="4" t="s">
        <v>1586</v>
      </c>
    </row>
    <row r="1008" spans="1:1" x14ac:dyDescent="0.25">
      <c r="A1008" s="4" t="s">
        <v>1587</v>
      </c>
    </row>
    <row r="1009" spans="1:1" x14ac:dyDescent="0.25">
      <c r="A1009" s="4" t="s">
        <v>1588</v>
      </c>
    </row>
    <row r="1010" spans="1:1" x14ac:dyDescent="0.25">
      <c r="A1010" s="4" t="s">
        <v>1589</v>
      </c>
    </row>
    <row r="1011" spans="1:1" x14ac:dyDescent="0.25">
      <c r="A1011" s="4" t="s">
        <v>1590</v>
      </c>
    </row>
    <row r="1012" spans="1:1" x14ac:dyDescent="0.25">
      <c r="A1012" s="4" t="s">
        <v>1591</v>
      </c>
    </row>
    <row r="1013" spans="1:1" x14ac:dyDescent="0.25">
      <c r="A1013" s="4" t="s">
        <v>1592</v>
      </c>
    </row>
    <row r="1014" spans="1:1" x14ac:dyDescent="0.25">
      <c r="A1014" s="4" t="s">
        <v>1593</v>
      </c>
    </row>
    <row r="1015" spans="1:1" x14ac:dyDescent="0.25">
      <c r="A1015" s="4" t="s">
        <v>1594</v>
      </c>
    </row>
    <row r="1016" spans="1:1" x14ac:dyDescent="0.25">
      <c r="A1016" s="4" t="s">
        <v>1595</v>
      </c>
    </row>
    <row r="1017" spans="1:1" x14ac:dyDescent="0.25">
      <c r="A1017" s="4" t="s">
        <v>1596</v>
      </c>
    </row>
    <row r="1018" spans="1:1" x14ac:dyDescent="0.25">
      <c r="A1018" s="4" t="s">
        <v>1597</v>
      </c>
    </row>
    <row r="1019" spans="1:1" x14ac:dyDescent="0.25">
      <c r="A1019" s="4" t="s">
        <v>1598</v>
      </c>
    </row>
    <row r="1020" spans="1:1" x14ac:dyDescent="0.25">
      <c r="A1020" s="4" t="s">
        <v>1599</v>
      </c>
    </row>
    <row r="1021" spans="1:1" x14ac:dyDescent="0.25">
      <c r="A1021" s="4" t="s">
        <v>1600</v>
      </c>
    </row>
    <row r="1022" spans="1:1" x14ac:dyDescent="0.25">
      <c r="A1022" s="4" t="s">
        <v>1601</v>
      </c>
    </row>
    <row r="1023" spans="1:1" x14ac:dyDescent="0.25">
      <c r="A1023" s="4" t="s">
        <v>1602</v>
      </c>
    </row>
    <row r="1024" spans="1:1" x14ac:dyDescent="0.25">
      <c r="A1024" s="4" t="s">
        <v>1603</v>
      </c>
    </row>
    <row r="1025" spans="1:1" x14ac:dyDescent="0.25">
      <c r="A1025" s="4" t="s">
        <v>1604</v>
      </c>
    </row>
    <row r="1026" spans="1:1" x14ac:dyDescent="0.25">
      <c r="A1026" s="4" t="s">
        <v>1605</v>
      </c>
    </row>
    <row r="1027" spans="1:1" x14ac:dyDescent="0.25">
      <c r="A1027" s="4" t="s">
        <v>1606</v>
      </c>
    </row>
    <row r="1028" spans="1:1" x14ac:dyDescent="0.25">
      <c r="A1028" s="4" t="s">
        <v>1607</v>
      </c>
    </row>
    <row r="1029" spans="1:1" x14ac:dyDescent="0.25">
      <c r="A1029" s="4" t="s">
        <v>1608</v>
      </c>
    </row>
    <row r="1030" spans="1:1" x14ac:dyDescent="0.25">
      <c r="A1030" s="4" t="s">
        <v>1609</v>
      </c>
    </row>
    <row r="1031" spans="1:1" x14ac:dyDescent="0.25">
      <c r="A1031" s="4" t="s">
        <v>1610</v>
      </c>
    </row>
    <row r="1032" spans="1:1" x14ac:dyDescent="0.25">
      <c r="A1032" s="4" t="s">
        <v>1611</v>
      </c>
    </row>
    <row r="1033" spans="1:1" x14ac:dyDescent="0.25">
      <c r="A1033" s="4" t="s">
        <v>1612</v>
      </c>
    </row>
    <row r="1034" spans="1:1" x14ac:dyDescent="0.25">
      <c r="A1034" s="4" t="s">
        <v>1613</v>
      </c>
    </row>
    <row r="1035" spans="1:1" x14ac:dyDescent="0.25">
      <c r="A1035" s="4" t="s">
        <v>1614</v>
      </c>
    </row>
    <row r="1036" spans="1:1" x14ac:dyDescent="0.25">
      <c r="A1036" s="4" t="s">
        <v>1615</v>
      </c>
    </row>
    <row r="1037" spans="1:1" x14ac:dyDescent="0.25">
      <c r="A1037" s="4" t="s">
        <v>1616</v>
      </c>
    </row>
    <row r="1038" spans="1:1" x14ac:dyDescent="0.25">
      <c r="A1038" s="4" t="s">
        <v>1617</v>
      </c>
    </row>
    <row r="1039" spans="1:1" x14ac:dyDescent="0.25">
      <c r="A1039" s="4" t="s">
        <v>1618</v>
      </c>
    </row>
    <row r="1040" spans="1:1" x14ac:dyDescent="0.25">
      <c r="A1040" s="4" t="s">
        <v>1619</v>
      </c>
    </row>
    <row r="1041" spans="1:1" x14ac:dyDescent="0.25">
      <c r="A1041" s="4" t="s">
        <v>1620</v>
      </c>
    </row>
    <row r="1042" spans="1:1" x14ac:dyDescent="0.25">
      <c r="A1042" s="4" t="s">
        <v>1621</v>
      </c>
    </row>
    <row r="1043" spans="1:1" x14ac:dyDescent="0.25">
      <c r="A1043" s="4" t="s">
        <v>1622</v>
      </c>
    </row>
    <row r="1044" spans="1:1" x14ac:dyDescent="0.25">
      <c r="A1044" s="4" t="s">
        <v>1623</v>
      </c>
    </row>
    <row r="1045" spans="1:1" x14ac:dyDescent="0.25">
      <c r="A1045" s="4" t="s">
        <v>1624</v>
      </c>
    </row>
    <row r="1046" spans="1:1" x14ac:dyDescent="0.25">
      <c r="A1046" s="4" t="s">
        <v>1625</v>
      </c>
    </row>
    <row r="1047" spans="1:1" x14ac:dyDescent="0.25">
      <c r="A1047" s="4" t="s">
        <v>1626</v>
      </c>
    </row>
    <row r="1048" spans="1:1" x14ac:dyDescent="0.25">
      <c r="A1048" s="4" t="s">
        <v>1627</v>
      </c>
    </row>
    <row r="1049" spans="1:1" x14ac:dyDescent="0.25">
      <c r="A1049" s="4" t="s">
        <v>1628</v>
      </c>
    </row>
    <row r="1050" spans="1:1" x14ac:dyDescent="0.25">
      <c r="A1050" s="4" t="s">
        <v>1629</v>
      </c>
    </row>
    <row r="1051" spans="1:1" x14ac:dyDescent="0.25">
      <c r="A1051" s="4" t="s">
        <v>1630</v>
      </c>
    </row>
    <row r="1052" spans="1:1" x14ac:dyDescent="0.25">
      <c r="A1052" s="4" t="s">
        <v>1631</v>
      </c>
    </row>
    <row r="1053" spans="1:1" x14ac:dyDescent="0.25">
      <c r="A1053" s="4" t="s">
        <v>1632</v>
      </c>
    </row>
    <row r="1054" spans="1:1" x14ac:dyDescent="0.25">
      <c r="A1054" s="4" t="s">
        <v>1633</v>
      </c>
    </row>
    <row r="1055" spans="1:1" x14ac:dyDescent="0.25">
      <c r="A1055" s="4" t="s">
        <v>1634</v>
      </c>
    </row>
    <row r="1056" spans="1:1" x14ac:dyDescent="0.25">
      <c r="A1056" s="4" t="s">
        <v>1635</v>
      </c>
    </row>
    <row r="1057" spans="1:1" x14ac:dyDescent="0.25">
      <c r="A1057" s="4" t="s">
        <v>1636</v>
      </c>
    </row>
    <row r="1058" spans="1:1" x14ac:dyDescent="0.25">
      <c r="A1058" s="4" t="s">
        <v>1637</v>
      </c>
    </row>
    <row r="1059" spans="1:1" x14ac:dyDescent="0.25">
      <c r="A1059" s="4" t="s">
        <v>1638</v>
      </c>
    </row>
    <row r="1060" spans="1:1" x14ac:dyDescent="0.25">
      <c r="A1060" s="4" t="s">
        <v>1639</v>
      </c>
    </row>
    <row r="1061" spans="1:1" x14ac:dyDescent="0.25">
      <c r="A1061" s="4" t="s">
        <v>1640</v>
      </c>
    </row>
    <row r="1062" spans="1:1" x14ac:dyDescent="0.25">
      <c r="A1062" s="4" t="s">
        <v>1641</v>
      </c>
    </row>
    <row r="1063" spans="1:1" x14ac:dyDescent="0.25">
      <c r="A1063" s="4" t="s">
        <v>1642</v>
      </c>
    </row>
    <row r="1064" spans="1:1" x14ac:dyDescent="0.25">
      <c r="A1064" s="4" t="s">
        <v>1643</v>
      </c>
    </row>
    <row r="1065" spans="1:1" x14ac:dyDescent="0.25">
      <c r="A1065" s="4" t="s">
        <v>1644</v>
      </c>
    </row>
    <row r="1066" spans="1:1" x14ac:dyDescent="0.25">
      <c r="A1066" s="4" t="s">
        <v>1645</v>
      </c>
    </row>
    <row r="1067" spans="1:1" x14ac:dyDescent="0.25">
      <c r="A1067" s="4" t="s">
        <v>1646</v>
      </c>
    </row>
    <row r="1068" spans="1:1" x14ac:dyDescent="0.25">
      <c r="A1068" s="4" t="s">
        <v>1647</v>
      </c>
    </row>
    <row r="1069" spans="1:1" x14ac:dyDescent="0.25">
      <c r="A1069" s="4" t="s">
        <v>1648</v>
      </c>
    </row>
    <row r="1070" spans="1:1" x14ac:dyDescent="0.25">
      <c r="A1070" s="4" t="s">
        <v>1649</v>
      </c>
    </row>
    <row r="1071" spans="1:1" x14ac:dyDescent="0.25">
      <c r="A1071" s="4" t="s">
        <v>1650</v>
      </c>
    </row>
    <row r="1072" spans="1:1" x14ac:dyDescent="0.25">
      <c r="A1072" s="4" t="s">
        <v>1651</v>
      </c>
    </row>
    <row r="1073" spans="1:1" x14ac:dyDescent="0.25">
      <c r="A1073" s="4" t="s">
        <v>1652</v>
      </c>
    </row>
    <row r="1074" spans="1:1" x14ac:dyDescent="0.25">
      <c r="A1074" s="4" t="s">
        <v>1653</v>
      </c>
    </row>
    <row r="1075" spans="1:1" x14ac:dyDescent="0.25">
      <c r="A1075" s="4" t="s">
        <v>1654</v>
      </c>
    </row>
    <row r="1076" spans="1:1" x14ac:dyDescent="0.25">
      <c r="A1076" s="4" t="s">
        <v>1655</v>
      </c>
    </row>
    <row r="1077" spans="1:1" x14ac:dyDescent="0.25">
      <c r="A1077" s="4" t="s">
        <v>1656</v>
      </c>
    </row>
    <row r="1078" spans="1:1" x14ac:dyDescent="0.25">
      <c r="A1078" s="4" t="s">
        <v>1657</v>
      </c>
    </row>
    <row r="1079" spans="1:1" x14ac:dyDescent="0.25">
      <c r="A1079" s="4" t="s">
        <v>1658</v>
      </c>
    </row>
    <row r="1080" spans="1:1" x14ac:dyDescent="0.25">
      <c r="A1080" s="4" t="s">
        <v>1659</v>
      </c>
    </row>
    <row r="1081" spans="1:1" x14ac:dyDescent="0.25">
      <c r="A1081" s="4" t="s">
        <v>1660</v>
      </c>
    </row>
    <row r="1082" spans="1:1" x14ac:dyDescent="0.25">
      <c r="A1082" s="4" t="s">
        <v>1661</v>
      </c>
    </row>
    <row r="1083" spans="1:1" x14ac:dyDescent="0.25">
      <c r="A1083" s="4" t="s">
        <v>1662</v>
      </c>
    </row>
    <row r="1084" spans="1:1" x14ac:dyDescent="0.25">
      <c r="A1084" s="4" t="s">
        <v>1663</v>
      </c>
    </row>
    <row r="1085" spans="1:1" x14ac:dyDescent="0.25">
      <c r="A1085" s="4" t="s">
        <v>1664</v>
      </c>
    </row>
    <row r="1086" spans="1:1" x14ac:dyDescent="0.25">
      <c r="A1086" s="4" t="s">
        <v>1665</v>
      </c>
    </row>
    <row r="1087" spans="1:1" x14ac:dyDescent="0.25">
      <c r="A1087" s="4" t="s">
        <v>1666</v>
      </c>
    </row>
    <row r="1088" spans="1:1" x14ac:dyDescent="0.25">
      <c r="A1088" s="4" t="s">
        <v>1667</v>
      </c>
    </row>
    <row r="1089" spans="1:1" x14ac:dyDescent="0.25">
      <c r="A1089" s="4" t="s">
        <v>1668</v>
      </c>
    </row>
    <row r="1090" spans="1:1" x14ac:dyDescent="0.25">
      <c r="A1090" s="4" t="s">
        <v>1669</v>
      </c>
    </row>
    <row r="1091" spans="1:1" x14ac:dyDescent="0.25">
      <c r="A1091" s="4" t="s">
        <v>1670</v>
      </c>
    </row>
    <row r="1092" spans="1:1" x14ac:dyDescent="0.25">
      <c r="A1092" s="4" t="s">
        <v>1671</v>
      </c>
    </row>
    <row r="1093" spans="1:1" x14ac:dyDescent="0.25">
      <c r="A1093" s="4" t="s">
        <v>1672</v>
      </c>
    </row>
    <row r="1094" spans="1:1" x14ac:dyDescent="0.25">
      <c r="A1094" s="4" t="s">
        <v>1673</v>
      </c>
    </row>
    <row r="1095" spans="1:1" x14ac:dyDescent="0.25">
      <c r="A1095" s="4" t="s">
        <v>1674</v>
      </c>
    </row>
    <row r="1096" spans="1:1" x14ac:dyDescent="0.25">
      <c r="A1096" s="4" t="s">
        <v>1675</v>
      </c>
    </row>
    <row r="1097" spans="1:1" x14ac:dyDescent="0.25">
      <c r="A1097" s="4" t="s">
        <v>1676</v>
      </c>
    </row>
    <row r="1098" spans="1:1" x14ac:dyDescent="0.25">
      <c r="A1098" s="4" t="s">
        <v>1677</v>
      </c>
    </row>
    <row r="1099" spans="1:1" x14ac:dyDescent="0.25">
      <c r="A1099" s="4" t="s">
        <v>1678</v>
      </c>
    </row>
    <row r="1100" spans="1:1" x14ac:dyDescent="0.25">
      <c r="A1100" s="4" t="s">
        <v>1679</v>
      </c>
    </row>
    <row r="1101" spans="1:1" x14ac:dyDescent="0.25">
      <c r="A1101" s="4" t="s">
        <v>1680</v>
      </c>
    </row>
    <row r="1102" spans="1:1" x14ac:dyDescent="0.25">
      <c r="A1102" s="4" t="s">
        <v>1681</v>
      </c>
    </row>
    <row r="1103" spans="1:1" x14ac:dyDescent="0.25">
      <c r="A1103" s="4" t="s">
        <v>1682</v>
      </c>
    </row>
    <row r="1104" spans="1:1" x14ac:dyDescent="0.25">
      <c r="A1104" s="4" t="s">
        <v>1683</v>
      </c>
    </row>
    <row r="1105" spans="1:1" x14ac:dyDescent="0.25">
      <c r="A1105" s="4" t="s">
        <v>1684</v>
      </c>
    </row>
    <row r="1106" spans="1:1" x14ac:dyDescent="0.25">
      <c r="A1106" s="4" t="s">
        <v>1685</v>
      </c>
    </row>
    <row r="1107" spans="1:1" x14ac:dyDescent="0.25">
      <c r="A1107" s="4" t="s">
        <v>1686</v>
      </c>
    </row>
    <row r="1108" spans="1:1" x14ac:dyDescent="0.25">
      <c r="A1108" s="4" t="s">
        <v>1687</v>
      </c>
    </row>
    <row r="1109" spans="1:1" x14ac:dyDescent="0.25">
      <c r="A1109" s="4" t="s">
        <v>1688</v>
      </c>
    </row>
    <row r="1110" spans="1:1" x14ac:dyDescent="0.25">
      <c r="A1110" s="4" t="s">
        <v>1689</v>
      </c>
    </row>
    <row r="1111" spans="1:1" x14ac:dyDescent="0.25">
      <c r="A1111" s="4" t="s">
        <v>1690</v>
      </c>
    </row>
    <row r="1112" spans="1:1" x14ac:dyDescent="0.25">
      <c r="A1112" s="4" t="s">
        <v>1691</v>
      </c>
    </row>
    <row r="1113" spans="1:1" x14ac:dyDescent="0.25">
      <c r="A1113" s="4" t="s">
        <v>1692</v>
      </c>
    </row>
    <row r="1114" spans="1:1" x14ac:dyDescent="0.25">
      <c r="A1114" s="4" t="s">
        <v>1693</v>
      </c>
    </row>
    <row r="1115" spans="1:1" x14ac:dyDescent="0.25">
      <c r="A1115" s="4" t="s">
        <v>1694</v>
      </c>
    </row>
    <row r="1116" spans="1:1" x14ac:dyDescent="0.25">
      <c r="A1116" s="4" t="s">
        <v>1695</v>
      </c>
    </row>
    <row r="1117" spans="1:1" x14ac:dyDescent="0.25">
      <c r="A1117" s="4" t="s">
        <v>1696</v>
      </c>
    </row>
    <row r="1118" spans="1:1" x14ac:dyDescent="0.25">
      <c r="A1118" s="4" t="s">
        <v>1697</v>
      </c>
    </row>
    <row r="1119" spans="1:1" x14ac:dyDescent="0.25">
      <c r="A1119" s="4" t="s">
        <v>1698</v>
      </c>
    </row>
    <row r="1120" spans="1:1" x14ac:dyDescent="0.25">
      <c r="A1120" s="4" t="s">
        <v>1699</v>
      </c>
    </row>
    <row r="1121" spans="1:1" x14ac:dyDescent="0.25">
      <c r="A1121" s="4" t="s">
        <v>1700</v>
      </c>
    </row>
    <row r="1122" spans="1:1" x14ac:dyDescent="0.25">
      <c r="A1122" s="4" t="s">
        <v>1701</v>
      </c>
    </row>
    <row r="1123" spans="1:1" x14ac:dyDescent="0.25">
      <c r="A1123" s="4" t="s">
        <v>1702</v>
      </c>
    </row>
    <row r="1124" spans="1:1" x14ac:dyDescent="0.25">
      <c r="A1124" s="4" t="s">
        <v>1703</v>
      </c>
    </row>
    <row r="1125" spans="1:1" x14ac:dyDescent="0.25">
      <c r="A1125" s="4" t="s">
        <v>1704</v>
      </c>
    </row>
    <row r="1126" spans="1:1" x14ac:dyDescent="0.25">
      <c r="A1126" s="4" t="s">
        <v>1705</v>
      </c>
    </row>
    <row r="1127" spans="1:1" x14ac:dyDescent="0.25">
      <c r="A1127" s="4" t="s">
        <v>1706</v>
      </c>
    </row>
    <row r="1128" spans="1:1" x14ac:dyDescent="0.25">
      <c r="A1128" s="4" t="s">
        <v>1707</v>
      </c>
    </row>
    <row r="1129" spans="1:1" x14ac:dyDescent="0.25">
      <c r="A1129" s="4" t="s">
        <v>1708</v>
      </c>
    </row>
    <row r="1130" spans="1:1" x14ac:dyDescent="0.25">
      <c r="A1130" s="4" t="s">
        <v>1709</v>
      </c>
    </row>
    <row r="1131" spans="1:1" x14ac:dyDescent="0.25">
      <c r="A1131" s="4" t="s">
        <v>1710</v>
      </c>
    </row>
    <row r="1132" spans="1:1" x14ac:dyDescent="0.25">
      <c r="A1132" s="4" t="s">
        <v>1711</v>
      </c>
    </row>
    <row r="1133" spans="1:1" x14ac:dyDescent="0.25">
      <c r="A1133" s="4" t="s">
        <v>1712</v>
      </c>
    </row>
    <row r="1134" spans="1:1" x14ac:dyDescent="0.25">
      <c r="A1134" s="4" t="s">
        <v>1713</v>
      </c>
    </row>
    <row r="1135" spans="1:1" x14ac:dyDescent="0.25">
      <c r="A1135" s="4" t="s">
        <v>1714</v>
      </c>
    </row>
    <row r="1136" spans="1:1" x14ac:dyDescent="0.25">
      <c r="A1136" s="4" t="s">
        <v>1715</v>
      </c>
    </row>
    <row r="1137" spans="1:1" x14ac:dyDescent="0.25">
      <c r="A1137" s="4" t="s">
        <v>1716</v>
      </c>
    </row>
    <row r="1138" spans="1:1" x14ac:dyDescent="0.25">
      <c r="A1138" s="4" t="s">
        <v>1717</v>
      </c>
    </row>
    <row r="1139" spans="1:1" x14ac:dyDescent="0.25">
      <c r="A1139" s="4" t="s">
        <v>1718</v>
      </c>
    </row>
    <row r="1140" spans="1:1" x14ac:dyDescent="0.25">
      <c r="A1140" s="4" t="s">
        <v>1719</v>
      </c>
    </row>
    <row r="1141" spans="1:1" x14ac:dyDescent="0.25">
      <c r="A1141" s="4" t="s">
        <v>1720</v>
      </c>
    </row>
    <row r="1142" spans="1:1" x14ac:dyDescent="0.25">
      <c r="A1142" s="4" t="s">
        <v>1721</v>
      </c>
    </row>
    <row r="1143" spans="1:1" x14ac:dyDescent="0.25">
      <c r="A1143" s="4" t="s">
        <v>1722</v>
      </c>
    </row>
    <row r="1144" spans="1:1" x14ac:dyDescent="0.25">
      <c r="A1144" s="4" t="s">
        <v>1723</v>
      </c>
    </row>
    <row r="1145" spans="1:1" x14ac:dyDescent="0.25">
      <c r="A1145" s="4" t="s">
        <v>1724</v>
      </c>
    </row>
    <row r="1146" spans="1:1" x14ac:dyDescent="0.25">
      <c r="A1146" s="4" t="s">
        <v>1725</v>
      </c>
    </row>
    <row r="1147" spans="1:1" x14ac:dyDescent="0.25">
      <c r="A1147" s="4" t="s">
        <v>1726</v>
      </c>
    </row>
    <row r="1148" spans="1:1" x14ac:dyDescent="0.25">
      <c r="A1148" s="4" t="s">
        <v>1727</v>
      </c>
    </row>
    <row r="1149" spans="1:1" x14ac:dyDescent="0.25">
      <c r="A1149" s="4" t="s">
        <v>1728</v>
      </c>
    </row>
    <row r="1150" spans="1:1" x14ac:dyDescent="0.25">
      <c r="A1150" s="4" t="s">
        <v>1729</v>
      </c>
    </row>
    <row r="1151" spans="1:1" x14ac:dyDescent="0.25">
      <c r="A1151" s="4" t="s">
        <v>1730</v>
      </c>
    </row>
    <row r="1152" spans="1:1" x14ac:dyDescent="0.25">
      <c r="A1152" s="4" t="s">
        <v>1731</v>
      </c>
    </row>
    <row r="1153" spans="1:1" x14ac:dyDescent="0.25">
      <c r="A1153" s="4" t="s">
        <v>1732</v>
      </c>
    </row>
    <row r="1154" spans="1:1" x14ac:dyDescent="0.25">
      <c r="A1154" s="4" t="s">
        <v>1733</v>
      </c>
    </row>
    <row r="1155" spans="1:1" x14ac:dyDescent="0.25">
      <c r="A1155" s="4" t="s">
        <v>1734</v>
      </c>
    </row>
    <row r="1156" spans="1:1" x14ac:dyDescent="0.25">
      <c r="A1156" s="4" t="s">
        <v>1735</v>
      </c>
    </row>
    <row r="1157" spans="1:1" x14ac:dyDescent="0.25">
      <c r="A1157" s="4" t="s">
        <v>1736</v>
      </c>
    </row>
    <row r="1158" spans="1:1" x14ac:dyDescent="0.25">
      <c r="A1158" s="4" t="s">
        <v>1737</v>
      </c>
    </row>
    <row r="1159" spans="1:1" x14ac:dyDescent="0.25">
      <c r="A1159" s="4" t="s">
        <v>1738</v>
      </c>
    </row>
    <row r="1160" spans="1:1" x14ac:dyDescent="0.25">
      <c r="A1160" s="4" t="s">
        <v>1739</v>
      </c>
    </row>
    <row r="1161" spans="1:1" x14ac:dyDescent="0.25">
      <c r="A1161" s="4" t="s">
        <v>1740</v>
      </c>
    </row>
    <row r="1162" spans="1:1" x14ac:dyDescent="0.25">
      <c r="A1162" s="4" t="s">
        <v>1741</v>
      </c>
    </row>
    <row r="1163" spans="1:1" x14ac:dyDescent="0.25">
      <c r="A1163" s="4" t="s">
        <v>1742</v>
      </c>
    </row>
    <row r="1164" spans="1:1" x14ac:dyDescent="0.25">
      <c r="A1164" s="4" t="s">
        <v>1743</v>
      </c>
    </row>
    <row r="1165" spans="1:1" x14ac:dyDescent="0.25">
      <c r="A1165" s="4" t="s">
        <v>1744</v>
      </c>
    </row>
    <row r="1166" spans="1:1" x14ac:dyDescent="0.25">
      <c r="A1166" s="4" t="s">
        <v>1745</v>
      </c>
    </row>
    <row r="1167" spans="1:1" x14ac:dyDescent="0.25">
      <c r="A1167" s="4" t="s">
        <v>1746</v>
      </c>
    </row>
    <row r="1168" spans="1:1" x14ac:dyDescent="0.25">
      <c r="A1168" s="4" t="s">
        <v>1747</v>
      </c>
    </row>
    <row r="1169" spans="1:1" x14ac:dyDescent="0.25">
      <c r="A1169" s="4" t="s">
        <v>1748</v>
      </c>
    </row>
    <row r="1170" spans="1:1" x14ac:dyDescent="0.25">
      <c r="A1170" s="4" t="s">
        <v>1749</v>
      </c>
    </row>
    <row r="1171" spans="1:1" x14ac:dyDescent="0.25">
      <c r="A1171" s="4" t="s">
        <v>1750</v>
      </c>
    </row>
    <row r="1172" spans="1:1" x14ac:dyDescent="0.25">
      <c r="A1172" s="4" t="s">
        <v>1751</v>
      </c>
    </row>
    <row r="1173" spans="1:1" x14ac:dyDescent="0.25">
      <c r="A1173" s="4" t="s">
        <v>1752</v>
      </c>
    </row>
    <row r="1174" spans="1:1" x14ac:dyDescent="0.25">
      <c r="A1174" s="4" t="s">
        <v>1753</v>
      </c>
    </row>
    <row r="1175" spans="1:1" x14ac:dyDescent="0.25">
      <c r="A1175" s="4" t="s">
        <v>1754</v>
      </c>
    </row>
    <row r="1176" spans="1:1" x14ac:dyDescent="0.25">
      <c r="A1176" s="4" t="s">
        <v>1755</v>
      </c>
    </row>
    <row r="1177" spans="1:1" x14ac:dyDescent="0.25">
      <c r="A1177" s="4" t="s">
        <v>1756</v>
      </c>
    </row>
    <row r="1178" spans="1:1" x14ac:dyDescent="0.25">
      <c r="A1178" s="4" t="s">
        <v>1757</v>
      </c>
    </row>
    <row r="1179" spans="1:1" x14ac:dyDescent="0.25">
      <c r="A1179" s="4" t="s">
        <v>1758</v>
      </c>
    </row>
    <row r="1180" spans="1:1" x14ac:dyDescent="0.25">
      <c r="A1180" s="4" t="s">
        <v>1759</v>
      </c>
    </row>
    <row r="1181" spans="1:1" x14ac:dyDescent="0.25">
      <c r="A1181" s="4" t="s">
        <v>1760</v>
      </c>
    </row>
    <row r="1182" spans="1:1" x14ac:dyDescent="0.25">
      <c r="A1182" s="4" t="s">
        <v>1761</v>
      </c>
    </row>
    <row r="1183" spans="1:1" x14ac:dyDescent="0.25">
      <c r="A1183" s="4" t="s">
        <v>1762</v>
      </c>
    </row>
    <row r="1184" spans="1:1" x14ac:dyDescent="0.25">
      <c r="A1184" s="4" t="s">
        <v>1763</v>
      </c>
    </row>
    <row r="1185" spans="1:1" x14ac:dyDescent="0.25">
      <c r="A1185" s="4" t="s">
        <v>1764</v>
      </c>
    </row>
    <row r="1186" spans="1:1" x14ac:dyDescent="0.25">
      <c r="A1186" s="4" t="s">
        <v>1765</v>
      </c>
    </row>
    <row r="1187" spans="1:1" x14ac:dyDescent="0.25">
      <c r="A1187" s="4" t="s">
        <v>1766</v>
      </c>
    </row>
    <row r="1188" spans="1:1" x14ac:dyDescent="0.25">
      <c r="A1188" s="4" t="s">
        <v>1767</v>
      </c>
    </row>
    <row r="1189" spans="1:1" x14ac:dyDescent="0.25">
      <c r="A1189" s="4" t="s">
        <v>1768</v>
      </c>
    </row>
    <row r="1190" spans="1:1" x14ac:dyDescent="0.25">
      <c r="A1190" s="4" t="s">
        <v>1769</v>
      </c>
    </row>
    <row r="1191" spans="1:1" x14ac:dyDescent="0.25">
      <c r="A1191" s="4" t="s">
        <v>1770</v>
      </c>
    </row>
    <row r="1192" spans="1:1" x14ac:dyDescent="0.25">
      <c r="A1192" s="4" t="s">
        <v>1771</v>
      </c>
    </row>
    <row r="1193" spans="1:1" x14ac:dyDescent="0.25">
      <c r="A1193" s="4" t="s">
        <v>1772</v>
      </c>
    </row>
    <row r="1194" spans="1:1" x14ac:dyDescent="0.25">
      <c r="A1194" s="4" t="s">
        <v>1773</v>
      </c>
    </row>
    <row r="1195" spans="1:1" x14ac:dyDescent="0.25">
      <c r="A1195" s="4" t="s">
        <v>1774</v>
      </c>
    </row>
    <row r="1196" spans="1:1" x14ac:dyDescent="0.25">
      <c r="A1196" s="4" t="s">
        <v>1775</v>
      </c>
    </row>
    <row r="1197" spans="1:1" x14ac:dyDescent="0.25">
      <c r="A1197" s="4" t="s">
        <v>1776</v>
      </c>
    </row>
    <row r="1198" spans="1:1" x14ac:dyDescent="0.25">
      <c r="A1198" s="4" t="s">
        <v>1777</v>
      </c>
    </row>
    <row r="1199" spans="1:1" x14ac:dyDescent="0.25">
      <c r="A1199" s="4" t="s">
        <v>1778</v>
      </c>
    </row>
    <row r="1200" spans="1:1" x14ac:dyDescent="0.25">
      <c r="A1200" s="4" t="s">
        <v>1779</v>
      </c>
    </row>
    <row r="1201" spans="1:1" x14ac:dyDescent="0.25">
      <c r="A1201" s="4" t="s">
        <v>1780</v>
      </c>
    </row>
    <row r="1202" spans="1:1" x14ac:dyDescent="0.25">
      <c r="A1202" s="4" t="s">
        <v>1781</v>
      </c>
    </row>
    <row r="1203" spans="1:1" x14ac:dyDescent="0.25">
      <c r="A1203" s="4" t="s">
        <v>1782</v>
      </c>
    </row>
    <row r="1204" spans="1:1" x14ac:dyDescent="0.25">
      <c r="A1204" s="4" t="s">
        <v>1783</v>
      </c>
    </row>
    <row r="1205" spans="1:1" x14ac:dyDescent="0.25">
      <c r="A1205" s="4" t="s">
        <v>1784</v>
      </c>
    </row>
    <row r="1206" spans="1:1" x14ac:dyDescent="0.25">
      <c r="A1206" s="4" t="s">
        <v>1785</v>
      </c>
    </row>
    <row r="1207" spans="1:1" x14ac:dyDescent="0.25">
      <c r="A1207" s="4" t="s">
        <v>1786</v>
      </c>
    </row>
    <row r="1208" spans="1:1" x14ac:dyDescent="0.25">
      <c r="A1208" s="4" t="s">
        <v>1787</v>
      </c>
    </row>
    <row r="1209" spans="1:1" x14ac:dyDescent="0.25">
      <c r="A1209" s="4" t="s">
        <v>1788</v>
      </c>
    </row>
    <row r="1210" spans="1:1" x14ac:dyDescent="0.25">
      <c r="A1210" s="4" t="s">
        <v>1789</v>
      </c>
    </row>
    <row r="1211" spans="1:1" x14ac:dyDescent="0.25">
      <c r="A1211" s="4" t="s">
        <v>1790</v>
      </c>
    </row>
    <row r="1212" spans="1:1" x14ac:dyDescent="0.25">
      <c r="A1212" s="4" t="s">
        <v>1791</v>
      </c>
    </row>
    <row r="1213" spans="1:1" x14ac:dyDescent="0.25">
      <c r="A1213" s="4" t="s">
        <v>1792</v>
      </c>
    </row>
    <row r="1214" spans="1:1" x14ac:dyDescent="0.25">
      <c r="A1214" s="4" t="s">
        <v>1793</v>
      </c>
    </row>
    <row r="1215" spans="1:1" x14ac:dyDescent="0.25">
      <c r="A1215" s="4" t="s">
        <v>1794</v>
      </c>
    </row>
    <row r="1216" spans="1:1" x14ac:dyDescent="0.25">
      <c r="A1216" s="4" t="s">
        <v>1795</v>
      </c>
    </row>
    <row r="1217" spans="1:1" x14ac:dyDescent="0.25">
      <c r="A1217" s="4" t="s">
        <v>1796</v>
      </c>
    </row>
    <row r="1218" spans="1:1" x14ac:dyDescent="0.25">
      <c r="A1218" s="4" t="s">
        <v>1797</v>
      </c>
    </row>
    <row r="1219" spans="1:1" x14ac:dyDescent="0.25">
      <c r="A1219" s="4" t="s">
        <v>1798</v>
      </c>
    </row>
    <row r="1220" spans="1:1" x14ac:dyDescent="0.25">
      <c r="A1220" s="4" t="s">
        <v>1799</v>
      </c>
    </row>
    <row r="1221" spans="1:1" x14ac:dyDescent="0.25">
      <c r="A1221" s="4" t="s">
        <v>1800</v>
      </c>
    </row>
    <row r="1222" spans="1:1" x14ac:dyDescent="0.25">
      <c r="A1222" s="4" t="s">
        <v>1801</v>
      </c>
    </row>
    <row r="1223" spans="1:1" x14ac:dyDescent="0.25">
      <c r="A1223" s="4" t="s">
        <v>1802</v>
      </c>
    </row>
    <row r="1224" spans="1:1" x14ac:dyDescent="0.25">
      <c r="A1224" s="4" t="s">
        <v>1803</v>
      </c>
    </row>
    <row r="1225" spans="1:1" x14ac:dyDescent="0.25">
      <c r="A1225" s="4" t="s">
        <v>1804</v>
      </c>
    </row>
    <row r="1226" spans="1:1" x14ac:dyDescent="0.25">
      <c r="A1226" s="4" t="s">
        <v>1805</v>
      </c>
    </row>
    <row r="1227" spans="1:1" x14ac:dyDescent="0.25">
      <c r="A1227" s="4" t="s">
        <v>1806</v>
      </c>
    </row>
    <row r="1228" spans="1:1" x14ac:dyDescent="0.25">
      <c r="A1228" s="4" t="s">
        <v>1807</v>
      </c>
    </row>
    <row r="1229" spans="1:1" x14ac:dyDescent="0.25">
      <c r="A1229" s="4" t="s">
        <v>1808</v>
      </c>
    </row>
    <row r="1230" spans="1:1" x14ac:dyDescent="0.25">
      <c r="A1230" s="4" t="s">
        <v>1809</v>
      </c>
    </row>
    <row r="1231" spans="1:1" x14ac:dyDescent="0.25">
      <c r="A1231" s="4" t="s">
        <v>1810</v>
      </c>
    </row>
    <row r="1232" spans="1:1" x14ac:dyDescent="0.25">
      <c r="A1232" s="4" t="s">
        <v>1811</v>
      </c>
    </row>
    <row r="1233" spans="1:1" x14ac:dyDescent="0.25">
      <c r="A1233" s="4" t="s">
        <v>1812</v>
      </c>
    </row>
    <row r="1234" spans="1:1" x14ac:dyDescent="0.25">
      <c r="A1234" s="4" t="s">
        <v>1813</v>
      </c>
    </row>
    <row r="1235" spans="1:1" x14ac:dyDescent="0.25">
      <c r="A1235" s="4" t="s">
        <v>1814</v>
      </c>
    </row>
    <row r="1236" spans="1:1" x14ac:dyDescent="0.25">
      <c r="A1236" s="4" t="s">
        <v>1815</v>
      </c>
    </row>
    <row r="1237" spans="1:1" x14ac:dyDescent="0.25">
      <c r="A1237" s="4" t="s">
        <v>1816</v>
      </c>
    </row>
    <row r="1238" spans="1:1" x14ac:dyDescent="0.25">
      <c r="A1238" s="4" t="s">
        <v>1817</v>
      </c>
    </row>
    <row r="1239" spans="1:1" x14ac:dyDescent="0.25">
      <c r="A1239" s="4" t="s">
        <v>1818</v>
      </c>
    </row>
    <row r="1240" spans="1:1" x14ac:dyDescent="0.25">
      <c r="A1240" s="4" t="s">
        <v>1819</v>
      </c>
    </row>
    <row r="1241" spans="1:1" x14ac:dyDescent="0.25">
      <c r="A1241" s="4" t="s">
        <v>1820</v>
      </c>
    </row>
    <row r="1242" spans="1:1" x14ac:dyDescent="0.25">
      <c r="A1242" s="4" t="s">
        <v>1821</v>
      </c>
    </row>
    <row r="1243" spans="1:1" x14ac:dyDescent="0.25">
      <c r="A1243" s="4" t="s">
        <v>1822</v>
      </c>
    </row>
    <row r="1244" spans="1:1" x14ac:dyDescent="0.25">
      <c r="A1244" s="4" t="s">
        <v>1823</v>
      </c>
    </row>
    <row r="1245" spans="1:1" x14ac:dyDescent="0.25">
      <c r="A1245" s="4" t="s">
        <v>1824</v>
      </c>
    </row>
    <row r="1246" spans="1:1" x14ac:dyDescent="0.25">
      <c r="A1246" s="4" t="s">
        <v>1825</v>
      </c>
    </row>
    <row r="1247" spans="1:1" x14ac:dyDescent="0.25">
      <c r="A1247" s="4" t="s">
        <v>1826</v>
      </c>
    </row>
    <row r="1248" spans="1:1" x14ac:dyDescent="0.25">
      <c r="A1248" s="4" t="s">
        <v>1827</v>
      </c>
    </row>
    <row r="1249" spans="1:1" x14ac:dyDescent="0.25">
      <c r="A1249" s="4" t="s">
        <v>1828</v>
      </c>
    </row>
    <row r="1250" spans="1:1" x14ac:dyDescent="0.25">
      <c r="A1250" s="4" t="s">
        <v>1829</v>
      </c>
    </row>
    <row r="1251" spans="1:1" x14ac:dyDescent="0.25">
      <c r="A1251" s="4" t="s">
        <v>1830</v>
      </c>
    </row>
    <row r="1252" spans="1:1" x14ac:dyDescent="0.25">
      <c r="A1252" s="4" t="s">
        <v>1831</v>
      </c>
    </row>
    <row r="1253" spans="1:1" x14ac:dyDescent="0.25">
      <c r="A1253" s="4" t="s">
        <v>1832</v>
      </c>
    </row>
    <row r="1254" spans="1:1" x14ac:dyDescent="0.25">
      <c r="A1254" s="4" t="s">
        <v>1833</v>
      </c>
    </row>
    <row r="1255" spans="1:1" x14ac:dyDescent="0.25">
      <c r="A1255" s="4" t="s">
        <v>1834</v>
      </c>
    </row>
    <row r="1256" spans="1:1" x14ac:dyDescent="0.25">
      <c r="A1256" s="4" t="s">
        <v>1835</v>
      </c>
    </row>
    <row r="1257" spans="1:1" x14ac:dyDescent="0.25">
      <c r="A1257" s="4" t="s">
        <v>1836</v>
      </c>
    </row>
    <row r="1258" spans="1:1" x14ac:dyDescent="0.25">
      <c r="A1258" s="4" t="s">
        <v>1837</v>
      </c>
    </row>
    <row r="1259" spans="1:1" x14ac:dyDescent="0.25">
      <c r="A1259" s="4" t="s">
        <v>1838</v>
      </c>
    </row>
    <row r="1260" spans="1:1" x14ac:dyDescent="0.25">
      <c r="A1260" s="4" t="s">
        <v>1839</v>
      </c>
    </row>
    <row r="1261" spans="1:1" x14ac:dyDescent="0.25">
      <c r="A1261" s="4" t="s">
        <v>1840</v>
      </c>
    </row>
    <row r="1262" spans="1:1" x14ac:dyDescent="0.25">
      <c r="A1262" s="4" t="s">
        <v>1841</v>
      </c>
    </row>
    <row r="1263" spans="1:1" x14ac:dyDescent="0.25">
      <c r="A1263" s="4" t="s">
        <v>1842</v>
      </c>
    </row>
    <row r="1264" spans="1:1" x14ac:dyDescent="0.25">
      <c r="A1264" s="4" t="s">
        <v>1843</v>
      </c>
    </row>
    <row r="1265" spans="1:1" x14ac:dyDescent="0.25">
      <c r="A1265" s="4" t="s">
        <v>1844</v>
      </c>
    </row>
    <row r="1266" spans="1:1" x14ac:dyDescent="0.25">
      <c r="A1266" s="4" t="s">
        <v>1845</v>
      </c>
    </row>
    <row r="1267" spans="1:1" x14ac:dyDescent="0.25">
      <c r="A1267" s="4" t="s">
        <v>1846</v>
      </c>
    </row>
    <row r="1268" spans="1:1" x14ac:dyDescent="0.25">
      <c r="A1268" s="4" t="s">
        <v>1847</v>
      </c>
    </row>
    <row r="1269" spans="1:1" x14ac:dyDescent="0.25">
      <c r="A1269" s="4" t="s">
        <v>1848</v>
      </c>
    </row>
    <row r="1270" spans="1:1" x14ac:dyDescent="0.25">
      <c r="A1270" s="4" t="s">
        <v>1849</v>
      </c>
    </row>
    <row r="1271" spans="1:1" x14ac:dyDescent="0.25">
      <c r="A1271" s="4" t="s">
        <v>1850</v>
      </c>
    </row>
    <row r="1272" spans="1:1" x14ac:dyDescent="0.25">
      <c r="A1272" s="4" t="s">
        <v>1851</v>
      </c>
    </row>
    <row r="1273" spans="1:1" x14ac:dyDescent="0.25">
      <c r="A1273" s="4" t="s">
        <v>1852</v>
      </c>
    </row>
    <row r="1274" spans="1:1" x14ac:dyDescent="0.25">
      <c r="A1274" s="4" t="s">
        <v>1853</v>
      </c>
    </row>
    <row r="1275" spans="1:1" x14ac:dyDescent="0.25">
      <c r="A1275" s="4" t="s">
        <v>1854</v>
      </c>
    </row>
    <row r="1276" spans="1:1" x14ac:dyDescent="0.25">
      <c r="A1276" s="4" t="s">
        <v>1855</v>
      </c>
    </row>
    <row r="1277" spans="1:1" x14ac:dyDescent="0.25">
      <c r="A1277" s="4" t="s">
        <v>1856</v>
      </c>
    </row>
    <row r="1278" spans="1:1" x14ac:dyDescent="0.25">
      <c r="A1278" s="4" t="s">
        <v>1857</v>
      </c>
    </row>
    <row r="1279" spans="1:1" x14ac:dyDescent="0.25">
      <c r="A1279" s="4" t="s">
        <v>1858</v>
      </c>
    </row>
    <row r="1280" spans="1:1" x14ac:dyDescent="0.25">
      <c r="A1280" s="4" t="s">
        <v>1859</v>
      </c>
    </row>
    <row r="1281" spans="1:1" x14ac:dyDescent="0.25">
      <c r="A1281" s="4" t="s">
        <v>1860</v>
      </c>
    </row>
    <row r="1282" spans="1:1" x14ac:dyDescent="0.25">
      <c r="A1282" s="4" t="s">
        <v>1861</v>
      </c>
    </row>
    <row r="1283" spans="1:1" x14ac:dyDescent="0.25">
      <c r="A1283" s="4" t="s">
        <v>1862</v>
      </c>
    </row>
    <row r="1284" spans="1:1" x14ac:dyDescent="0.25">
      <c r="A1284" s="4" t="s">
        <v>1863</v>
      </c>
    </row>
    <row r="1285" spans="1:1" x14ac:dyDescent="0.25">
      <c r="A1285" s="4" t="s">
        <v>1864</v>
      </c>
    </row>
    <row r="1286" spans="1:1" x14ac:dyDescent="0.25">
      <c r="A1286" s="4" t="s">
        <v>1865</v>
      </c>
    </row>
    <row r="1287" spans="1:1" x14ac:dyDescent="0.25">
      <c r="A1287" s="4" t="s">
        <v>1866</v>
      </c>
    </row>
    <row r="1288" spans="1:1" x14ac:dyDescent="0.25">
      <c r="A1288" s="4" t="s">
        <v>1867</v>
      </c>
    </row>
    <row r="1289" spans="1:1" x14ac:dyDescent="0.25">
      <c r="A1289" s="4" t="s">
        <v>1868</v>
      </c>
    </row>
    <row r="1290" spans="1:1" x14ac:dyDescent="0.25">
      <c r="A1290" s="4" t="s">
        <v>1869</v>
      </c>
    </row>
    <row r="1291" spans="1:1" x14ac:dyDescent="0.25">
      <c r="A1291" s="4" t="s">
        <v>1870</v>
      </c>
    </row>
    <row r="1292" spans="1:1" x14ac:dyDescent="0.25">
      <c r="A1292" s="4" t="s">
        <v>1871</v>
      </c>
    </row>
    <row r="1293" spans="1:1" x14ac:dyDescent="0.25">
      <c r="A1293" s="4" t="s">
        <v>1872</v>
      </c>
    </row>
    <row r="1294" spans="1:1" x14ac:dyDescent="0.25">
      <c r="A1294" s="4" t="s">
        <v>1873</v>
      </c>
    </row>
    <row r="1295" spans="1:1" x14ac:dyDescent="0.25">
      <c r="A1295" s="4" t="s">
        <v>1874</v>
      </c>
    </row>
    <row r="1296" spans="1:1" x14ac:dyDescent="0.25">
      <c r="A1296" s="4" t="s">
        <v>1875</v>
      </c>
    </row>
    <row r="1297" spans="1:1" x14ac:dyDescent="0.25">
      <c r="A1297" s="4" t="s">
        <v>1876</v>
      </c>
    </row>
    <row r="1298" spans="1:1" x14ac:dyDescent="0.25">
      <c r="A1298" s="4" t="s">
        <v>1877</v>
      </c>
    </row>
    <row r="1299" spans="1:1" x14ac:dyDescent="0.25">
      <c r="A1299" s="4" t="s">
        <v>1878</v>
      </c>
    </row>
    <row r="1300" spans="1:1" x14ac:dyDescent="0.25">
      <c r="A1300" s="4" t="s">
        <v>1879</v>
      </c>
    </row>
    <row r="1301" spans="1:1" x14ac:dyDescent="0.25">
      <c r="A1301" s="4" t="s">
        <v>1880</v>
      </c>
    </row>
    <row r="1302" spans="1:1" x14ac:dyDescent="0.25">
      <c r="A1302" s="4" t="s">
        <v>1881</v>
      </c>
    </row>
    <row r="1303" spans="1:1" x14ac:dyDescent="0.25">
      <c r="A1303" s="4" t="s">
        <v>1882</v>
      </c>
    </row>
    <row r="1304" spans="1:1" x14ac:dyDescent="0.25">
      <c r="A1304" s="4" t="s">
        <v>1883</v>
      </c>
    </row>
    <row r="1305" spans="1:1" x14ac:dyDescent="0.25">
      <c r="A1305" s="4" t="s">
        <v>1884</v>
      </c>
    </row>
    <row r="1306" spans="1:1" x14ac:dyDescent="0.25">
      <c r="A1306" s="4" t="s">
        <v>1885</v>
      </c>
    </row>
    <row r="1307" spans="1:1" x14ac:dyDescent="0.25">
      <c r="A1307" s="4" t="s">
        <v>1886</v>
      </c>
    </row>
    <row r="1308" spans="1:1" x14ac:dyDescent="0.25">
      <c r="A1308" s="4" t="s">
        <v>1887</v>
      </c>
    </row>
    <row r="1309" spans="1:1" x14ac:dyDescent="0.25">
      <c r="A1309" s="4" t="s">
        <v>1888</v>
      </c>
    </row>
    <row r="1310" spans="1:1" x14ac:dyDescent="0.25">
      <c r="A1310" s="4" t="s">
        <v>1889</v>
      </c>
    </row>
    <row r="1311" spans="1:1" x14ac:dyDescent="0.25">
      <c r="A1311" s="4" t="s">
        <v>1890</v>
      </c>
    </row>
    <row r="1312" spans="1:1" x14ac:dyDescent="0.25">
      <c r="A1312" s="4" t="s">
        <v>1891</v>
      </c>
    </row>
    <row r="1313" spans="1:1" x14ac:dyDescent="0.25">
      <c r="A1313" s="4" t="s">
        <v>1892</v>
      </c>
    </row>
    <row r="1314" spans="1:1" x14ac:dyDescent="0.25">
      <c r="A1314" s="4" t="s">
        <v>1893</v>
      </c>
    </row>
    <row r="1315" spans="1:1" x14ac:dyDescent="0.25">
      <c r="A1315" s="4" t="s">
        <v>1894</v>
      </c>
    </row>
    <row r="1316" spans="1:1" x14ac:dyDescent="0.25">
      <c r="A1316" s="4" t="s">
        <v>1895</v>
      </c>
    </row>
    <row r="1317" spans="1:1" x14ac:dyDescent="0.25">
      <c r="A1317" s="4" t="s">
        <v>1896</v>
      </c>
    </row>
    <row r="1318" spans="1:1" x14ac:dyDescent="0.25">
      <c r="A1318" s="4" t="s">
        <v>1897</v>
      </c>
    </row>
    <row r="1319" spans="1:1" x14ac:dyDescent="0.25">
      <c r="A1319" s="4" t="s">
        <v>1898</v>
      </c>
    </row>
    <row r="1320" spans="1:1" x14ac:dyDescent="0.25">
      <c r="A1320" s="4" t="s">
        <v>1899</v>
      </c>
    </row>
    <row r="1321" spans="1:1" x14ac:dyDescent="0.25">
      <c r="A1321" s="4" t="s">
        <v>1900</v>
      </c>
    </row>
    <row r="1322" spans="1:1" x14ac:dyDescent="0.25">
      <c r="A1322" s="4" t="s">
        <v>1901</v>
      </c>
    </row>
    <row r="1323" spans="1:1" x14ac:dyDescent="0.25">
      <c r="A1323" s="4" t="s">
        <v>1902</v>
      </c>
    </row>
    <row r="1324" spans="1:1" x14ac:dyDescent="0.25">
      <c r="A1324" s="4" t="s">
        <v>1903</v>
      </c>
    </row>
    <row r="1325" spans="1:1" x14ac:dyDescent="0.25">
      <c r="A1325" s="4" t="s">
        <v>1904</v>
      </c>
    </row>
    <row r="1326" spans="1:1" x14ac:dyDescent="0.25">
      <c r="A1326" s="4" t="s">
        <v>1905</v>
      </c>
    </row>
    <row r="1327" spans="1:1" x14ac:dyDescent="0.25">
      <c r="A1327" s="4" t="s">
        <v>1906</v>
      </c>
    </row>
    <row r="1328" spans="1:1" x14ac:dyDescent="0.25">
      <c r="A1328" s="4" t="s">
        <v>1907</v>
      </c>
    </row>
    <row r="1329" spans="1:1" x14ac:dyDescent="0.25">
      <c r="A1329" s="4" t="s">
        <v>1908</v>
      </c>
    </row>
    <row r="1330" spans="1:1" x14ac:dyDescent="0.25">
      <c r="A1330" s="4" t="s">
        <v>1909</v>
      </c>
    </row>
    <row r="1331" spans="1:1" x14ac:dyDescent="0.25">
      <c r="A1331" s="4" t="s">
        <v>1910</v>
      </c>
    </row>
    <row r="1332" spans="1:1" x14ac:dyDescent="0.25">
      <c r="A1332" s="4" t="s">
        <v>1911</v>
      </c>
    </row>
    <row r="1333" spans="1:1" x14ac:dyDescent="0.25">
      <c r="A1333" s="4" t="s">
        <v>1912</v>
      </c>
    </row>
    <row r="1334" spans="1:1" x14ac:dyDescent="0.25">
      <c r="A1334" s="4" t="s">
        <v>1913</v>
      </c>
    </row>
    <row r="1335" spans="1:1" x14ac:dyDescent="0.25">
      <c r="A1335" s="4" t="s">
        <v>1914</v>
      </c>
    </row>
    <row r="1336" spans="1:1" x14ac:dyDescent="0.25">
      <c r="A1336" s="4" t="s">
        <v>1915</v>
      </c>
    </row>
    <row r="1337" spans="1:1" x14ac:dyDescent="0.25">
      <c r="A1337" s="4" t="s">
        <v>1916</v>
      </c>
    </row>
    <row r="1338" spans="1:1" x14ac:dyDescent="0.25">
      <c r="A1338" s="4" t="s">
        <v>1917</v>
      </c>
    </row>
    <row r="1339" spans="1:1" x14ac:dyDescent="0.25">
      <c r="A1339" s="4" t="s">
        <v>1918</v>
      </c>
    </row>
    <row r="1340" spans="1:1" x14ac:dyDescent="0.25">
      <c r="A1340" s="4" t="s">
        <v>1919</v>
      </c>
    </row>
    <row r="1341" spans="1:1" x14ac:dyDescent="0.25">
      <c r="A1341" s="4" t="s">
        <v>1920</v>
      </c>
    </row>
    <row r="1342" spans="1:1" x14ac:dyDescent="0.25">
      <c r="A1342" s="4" t="s">
        <v>1921</v>
      </c>
    </row>
    <row r="1343" spans="1:1" x14ac:dyDescent="0.25">
      <c r="A1343" s="4" t="s">
        <v>1922</v>
      </c>
    </row>
    <row r="1344" spans="1:1" x14ac:dyDescent="0.25">
      <c r="A1344" s="4" t="s">
        <v>1923</v>
      </c>
    </row>
    <row r="1345" spans="1:1" x14ac:dyDescent="0.25">
      <c r="A1345" s="4" t="s">
        <v>1924</v>
      </c>
    </row>
    <row r="1346" spans="1:1" x14ac:dyDescent="0.25">
      <c r="A1346" s="4" t="s">
        <v>1925</v>
      </c>
    </row>
    <row r="1347" spans="1:1" x14ac:dyDescent="0.25">
      <c r="A1347" s="4" t="s">
        <v>1926</v>
      </c>
    </row>
    <row r="1348" spans="1:1" x14ac:dyDescent="0.25">
      <c r="A1348" s="4" t="s">
        <v>1927</v>
      </c>
    </row>
    <row r="1349" spans="1:1" x14ac:dyDescent="0.25">
      <c r="A1349" s="4" t="s">
        <v>1928</v>
      </c>
    </row>
    <row r="1350" spans="1:1" x14ac:dyDescent="0.25">
      <c r="A1350" s="4" t="s">
        <v>1929</v>
      </c>
    </row>
    <row r="1351" spans="1:1" x14ac:dyDescent="0.25">
      <c r="A1351" s="4" t="s">
        <v>1930</v>
      </c>
    </row>
    <row r="1352" spans="1:1" x14ac:dyDescent="0.25">
      <c r="A1352" s="4" t="s">
        <v>1931</v>
      </c>
    </row>
    <row r="1353" spans="1:1" x14ac:dyDescent="0.25">
      <c r="A1353" s="4" t="s">
        <v>1932</v>
      </c>
    </row>
    <row r="1354" spans="1:1" x14ac:dyDescent="0.25">
      <c r="A1354" s="4" t="s">
        <v>1933</v>
      </c>
    </row>
    <row r="1355" spans="1:1" x14ac:dyDescent="0.25">
      <c r="A1355" s="4" t="s">
        <v>1934</v>
      </c>
    </row>
    <row r="1356" spans="1:1" x14ac:dyDescent="0.25">
      <c r="A1356" s="4" t="s">
        <v>1935</v>
      </c>
    </row>
    <row r="1357" spans="1:1" x14ac:dyDescent="0.25">
      <c r="A1357" s="4" t="s">
        <v>1936</v>
      </c>
    </row>
    <row r="1358" spans="1:1" x14ac:dyDescent="0.25">
      <c r="A1358" s="4" t="s">
        <v>1937</v>
      </c>
    </row>
    <row r="1359" spans="1:1" x14ac:dyDescent="0.25">
      <c r="A1359" s="4" t="s">
        <v>1938</v>
      </c>
    </row>
    <row r="1360" spans="1:1" x14ac:dyDescent="0.25">
      <c r="A1360" s="4" t="s">
        <v>1939</v>
      </c>
    </row>
    <row r="1361" spans="1:1" x14ac:dyDescent="0.25">
      <c r="A1361" s="4" t="s">
        <v>1940</v>
      </c>
    </row>
    <row r="1362" spans="1:1" x14ac:dyDescent="0.25">
      <c r="A1362" s="4" t="s">
        <v>1941</v>
      </c>
    </row>
    <row r="1363" spans="1:1" x14ac:dyDescent="0.25">
      <c r="A1363" s="4" t="s">
        <v>1942</v>
      </c>
    </row>
    <row r="1364" spans="1:1" x14ac:dyDescent="0.25">
      <c r="A1364" s="4" t="s">
        <v>1943</v>
      </c>
    </row>
    <row r="1365" spans="1:1" x14ac:dyDescent="0.25">
      <c r="A1365" s="4" t="s">
        <v>1944</v>
      </c>
    </row>
    <row r="1366" spans="1:1" x14ac:dyDescent="0.25">
      <c r="A1366" s="4" t="s">
        <v>1945</v>
      </c>
    </row>
    <row r="1367" spans="1:1" x14ac:dyDescent="0.25">
      <c r="A1367" s="4" t="s">
        <v>1946</v>
      </c>
    </row>
    <row r="1368" spans="1:1" x14ac:dyDescent="0.25">
      <c r="A1368" s="4" t="s">
        <v>1947</v>
      </c>
    </row>
    <row r="1369" spans="1:1" x14ac:dyDescent="0.25">
      <c r="A1369" s="4" t="s">
        <v>1948</v>
      </c>
    </row>
    <row r="1370" spans="1:1" x14ac:dyDescent="0.25">
      <c r="A1370" s="4" t="s">
        <v>1949</v>
      </c>
    </row>
    <row r="1371" spans="1:1" x14ac:dyDescent="0.25">
      <c r="A1371" s="4" t="s">
        <v>1950</v>
      </c>
    </row>
    <row r="1372" spans="1:1" x14ac:dyDescent="0.25">
      <c r="A1372" s="4" t="s">
        <v>1951</v>
      </c>
    </row>
    <row r="1373" spans="1:1" x14ac:dyDescent="0.25">
      <c r="A1373" s="4" t="s">
        <v>1952</v>
      </c>
    </row>
    <row r="1374" spans="1:1" x14ac:dyDescent="0.25">
      <c r="A1374" s="4" t="s">
        <v>1953</v>
      </c>
    </row>
    <row r="1375" spans="1:1" x14ac:dyDescent="0.25">
      <c r="A1375" s="4" t="s">
        <v>1954</v>
      </c>
    </row>
    <row r="1376" spans="1:1" x14ac:dyDescent="0.25">
      <c r="A1376" s="4" t="s">
        <v>1955</v>
      </c>
    </row>
    <row r="1377" spans="1:1" x14ac:dyDescent="0.25">
      <c r="A1377" s="4" t="s">
        <v>1956</v>
      </c>
    </row>
    <row r="1378" spans="1:1" x14ac:dyDescent="0.25">
      <c r="A1378" s="4" t="s">
        <v>1957</v>
      </c>
    </row>
    <row r="1379" spans="1:1" x14ac:dyDescent="0.25">
      <c r="A1379" s="4" t="s">
        <v>1958</v>
      </c>
    </row>
    <row r="1380" spans="1:1" x14ac:dyDescent="0.25">
      <c r="A1380" s="4" t="s">
        <v>1959</v>
      </c>
    </row>
    <row r="1381" spans="1:1" x14ac:dyDescent="0.25">
      <c r="A1381" s="4" t="s">
        <v>1960</v>
      </c>
    </row>
    <row r="1382" spans="1:1" x14ac:dyDescent="0.25">
      <c r="A1382" s="4" t="s">
        <v>1961</v>
      </c>
    </row>
    <row r="1383" spans="1:1" x14ac:dyDescent="0.25">
      <c r="A1383" s="4" t="s">
        <v>1962</v>
      </c>
    </row>
    <row r="1384" spans="1:1" x14ac:dyDescent="0.25">
      <c r="A1384" s="4" t="s">
        <v>1963</v>
      </c>
    </row>
    <row r="1385" spans="1:1" x14ac:dyDescent="0.25">
      <c r="A1385" s="4" t="s">
        <v>1964</v>
      </c>
    </row>
    <row r="1386" spans="1:1" x14ac:dyDescent="0.25">
      <c r="A1386" s="4" t="s">
        <v>1965</v>
      </c>
    </row>
    <row r="1387" spans="1:1" x14ac:dyDescent="0.25">
      <c r="A1387" s="4" t="s">
        <v>1966</v>
      </c>
    </row>
    <row r="1388" spans="1:1" x14ac:dyDescent="0.25">
      <c r="A1388" s="4" t="s">
        <v>1967</v>
      </c>
    </row>
    <row r="1389" spans="1:1" x14ac:dyDescent="0.25">
      <c r="A1389" s="4" t="s">
        <v>1968</v>
      </c>
    </row>
    <row r="1390" spans="1:1" x14ac:dyDescent="0.25">
      <c r="A1390" s="4" t="s">
        <v>1969</v>
      </c>
    </row>
    <row r="1391" spans="1:1" x14ac:dyDescent="0.25">
      <c r="A1391" s="4" t="s">
        <v>1970</v>
      </c>
    </row>
    <row r="1392" spans="1:1" x14ac:dyDescent="0.25">
      <c r="A1392" s="4" t="s">
        <v>1971</v>
      </c>
    </row>
    <row r="1393" spans="1:1" x14ac:dyDescent="0.25">
      <c r="A1393" s="4" t="s">
        <v>1972</v>
      </c>
    </row>
    <row r="1394" spans="1:1" x14ac:dyDescent="0.25">
      <c r="A1394" s="4" t="s">
        <v>1973</v>
      </c>
    </row>
    <row r="1395" spans="1:1" x14ac:dyDescent="0.25">
      <c r="A1395" s="4" t="s">
        <v>1974</v>
      </c>
    </row>
    <row r="1396" spans="1:1" x14ac:dyDescent="0.25">
      <c r="A1396" s="4" t="s">
        <v>1975</v>
      </c>
    </row>
    <row r="1397" spans="1:1" x14ac:dyDescent="0.25">
      <c r="A1397" s="4" t="s">
        <v>1976</v>
      </c>
    </row>
    <row r="1398" spans="1:1" x14ac:dyDescent="0.25">
      <c r="A1398" s="4" t="s">
        <v>1977</v>
      </c>
    </row>
    <row r="1399" spans="1:1" x14ac:dyDescent="0.25">
      <c r="A1399" s="4" t="s">
        <v>1978</v>
      </c>
    </row>
    <row r="1400" spans="1:1" x14ac:dyDescent="0.25">
      <c r="A1400" s="4" t="s">
        <v>1979</v>
      </c>
    </row>
    <row r="1401" spans="1:1" x14ac:dyDescent="0.25">
      <c r="A1401" s="4" t="s">
        <v>1980</v>
      </c>
    </row>
    <row r="1402" spans="1:1" x14ac:dyDescent="0.25">
      <c r="A1402" s="4" t="s">
        <v>1981</v>
      </c>
    </row>
    <row r="1403" spans="1:1" x14ac:dyDescent="0.25">
      <c r="A1403" s="4" t="s">
        <v>1982</v>
      </c>
    </row>
    <row r="1404" spans="1:1" x14ac:dyDescent="0.25">
      <c r="A1404" s="4" t="s">
        <v>1983</v>
      </c>
    </row>
    <row r="1405" spans="1:1" x14ac:dyDescent="0.25">
      <c r="A1405" s="4" t="s">
        <v>1984</v>
      </c>
    </row>
    <row r="1406" spans="1:1" x14ac:dyDescent="0.25">
      <c r="A1406" s="4" t="s">
        <v>1985</v>
      </c>
    </row>
    <row r="1407" spans="1:1" x14ac:dyDescent="0.25">
      <c r="A1407" s="4" t="s">
        <v>1986</v>
      </c>
    </row>
    <row r="1408" spans="1:1" x14ac:dyDescent="0.25">
      <c r="A1408" s="4" t="s">
        <v>1987</v>
      </c>
    </row>
    <row r="1409" spans="1:1" x14ac:dyDescent="0.25">
      <c r="A1409" s="4" t="s">
        <v>1988</v>
      </c>
    </row>
    <row r="1410" spans="1:1" x14ac:dyDescent="0.25">
      <c r="A1410" s="4" t="s">
        <v>1989</v>
      </c>
    </row>
    <row r="1411" spans="1:1" x14ac:dyDescent="0.25">
      <c r="A1411" s="4" t="s">
        <v>1990</v>
      </c>
    </row>
    <row r="1412" spans="1:1" x14ac:dyDescent="0.25">
      <c r="A1412" s="4" t="s">
        <v>1991</v>
      </c>
    </row>
    <row r="1413" spans="1:1" x14ac:dyDescent="0.25">
      <c r="A1413" s="4" t="s">
        <v>1992</v>
      </c>
    </row>
    <row r="1414" spans="1:1" x14ac:dyDescent="0.25">
      <c r="A1414" s="4" t="s">
        <v>1993</v>
      </c>
    </row>
    <row r="1415" spans="1:1" x14ac:dyDescent="0.25">
      <c r="A1415" s="4" t="s">
        <v>1994</v>
      </c>
    </row>
    <row r="1416" spans="1:1" x14ac:dyDescent="0.25">
      <c r="A1416" s="4" t="s">
        <v>1995</v>
      </c>
    </row>
    <row r="1417" spans="1:1" x14ac:dyDescent="0.25">
      <c r="A1417" s="4" t="s">
        <v>1996</v>
      </c>
    </row>
    <row r="1418" spans="1:1" x14ac:dyDescent="0.25">
      <c r="A1418" s="4" t="s">
        <v>1997</v>
      </c>
    </row>
    <row r="1419" spans="1:1" x14ac:dyDescent="0.25">
      <c r="A1419" s="4" t="s">
        <v>1998</v>
      </c>
    </row>
    <row r="1420" spans="1:1" x14ac:dyDescent="0.25">
      <c r="A1420" s="4" t="s">
        <v>1999</v>
      </c>
    </row>
    <row r="1421" spans="1:1" x14ac:dyDescent="0.25">
      <c r="A1421" s="4" t="s">
        <v>2000</v>
      </c>
    </row>
    <row r="1422" spans="1:1" x14ac:dyDescent="0.25">
      <c r="A1422" s="4" t="s">
        <v>2001</v>
      </c>
    </row>
    <row r="1423" spans="1:1" x14ac:dyDescent="0.25">
      <c r="A1423" s="4" t="s">
        <v>2002</v>
      </c>
    </row>
    <row r="1424" spans="1:1" x14ac:dyDescent="0.25">
      <c r="A1424" s="4" t="s">
        <v>2003</v>
      </c>
    </row>
    <row r="1425" spans="1:1" x14ac:dyDescent="0.25">
      <c r="A1425" s="4" t="s">
        <v>2004</v>
      </c>
    </row>
    <row r="1426" spans="1:1" x14ac:dyDescent="0.25">
      <c r="A1426" s="4" t="s">
        <v>2005</v>
      </c>
    </row>
    <row r="1427" spans="1:1" x14ac:dyDescent="0.25">
      <c r="A1427" s="4" t="s">
        <v>2006</v>
      </c>
    </row>
    <row r="1428" spans="1:1" x14ac:dyDescent="0.25">
      <c r="A1428" s="4" t="s">
        <v>2007</v>
      </c>
    </row>
    <row r="1429" spans="1:1" x14ac:dyDescent="0.25">
      <c r="A1429" s="4" t="s">
        <v>2008</v>
      </c>
    </row>
    <row r="1430" spans="1:1" x14ac:dyDescent="0.25">
      <c r="A1430" s="4" t="s">
        <v>2009</v>
      </c>
    </row>
    <row r="1431" spans="1:1" x14ac:dyDescent="0.25">
      <c r="A1431" s="4" t="s">
        <v>2010</v>
      </c>
    </row>
    <row r="1432" spans="1:1" x14ac:dyDescent="0.25">
      <c r="A1432" s="4" t="s">
        <v>2011</v>
      </c>
    </row>
    <row r="1433" spans="1:1" x14ac:dyDescent="0.25">
      <c r="A1433" s="4" t="s">
        <v>2012</v>
      </c>
    </row>
    <row r="1434" spans="1:1" x14ac:dyDescent="0.25">
      <c r="A1434" s="4" t="s">
        <v>2013</v>
      </c>
    </row>
    <row r="1435" spans="1:1" x14ac:dyDescent="0.25">
      <c r="A1435" s="4" t="s">
        <v>2014</v>
      </c>
    </row>
    <row r="1436" spans="1:1" x14ac:dyDescent="0.25">
      <c r="A1436" s="4" t="s">
        <v>2015</v>
      </c>
    </row>
    <row r="1437" spans="1:1" x14ac:dyDescent="0.25">
      <c r="A1437" s="4" t="s">
        <v>2016</v>
      </c>
    </row>
    <row r="1438" spans="1:1" x14ac:dyDescent="0.25">
      <c r="A1438" s="4" t="s">
        <v>2017</v>
      </c>
    </row>
    <row r="1439" spans="1:1" x14ac:dyDescent="0.25">
      <c r="A1439" s="4" t="s">
        <v>2018</v>
      </c>
    </row>
    <row r="1440" spans="1:1" x14ac:dyDescent="0.25">
      <c r="A1440" s="4" t="s">
        <v>2019</v>
      </c>
    </row>
    <row r="1441" spans="1:1" x14ac:dyDescent="0.25">
      <c r="A1441" s="4" t="s">
        <v>2020</v>
      </c>
    </row>
    <row r="1442" spans="1:1" x14ac:dyDescent="0.25">
      <c r="A1442" s="4" t="s">
        <v>2021</v>
      </c>
    </row>
    <row r="1443" spans="1:1" x14ac:dyDescent="0.25">
      <c r="A1443" s="4" t="s">
        <v>2022</v>
      </c>
    </row>
    <row r="1444" spans="1:1" x14ac:dyDescent="0.25">
      <c r="A1444" s="4" t="s">
        <v>2023</v>
      </c>
    </row>
    <row r="1445" spans="1:1" x14ac:dyDescent="0.25">
      <c r="A1445" s="4" t="s">
        <v>2024</v>
      </c>
    </row>
    <row r="1446" spans="1:1" x14ac:dyDescent="0.25">
      <c r="A1446" s="4" t="s">
        <v>2025</v>
      </c>
    </row>
    <row r="1447" spans="1:1" x14ac:dyDescent="0.25">
      <c r="A1447" s="4" t="s">
        <v>2026</v>
      </c>
    </row>
    <row r="1448" spans="1:1" x14ac:dyDescent="0.25">
      <c r="A1448" s="4" t="s">
        <v>2027</v>
      </c>
    </row>
    <row r="1449" spans="1:1" x14ac:dyDescent="0.25">
      <c r="A1449" s="4" t="s">
        <v>2028</v>
      </c>
    </row>
    <row r="1450" spans="1:1" x14ac:dyDescent="0.25">
      <c r="A1450" s="4" t="s">
        <v>2029</v>
      </c>
    </row>
    <row r="1451" spans="1:1" x14ac:dyDescent="0.25">
      <c r="A1451" s="4" t="s">
        <v>2030</v>
      </c>
    </row>
    <row r="1452" spans="1:1" x14ac:dyDescent="0.25">
      <c r="A1452" s="4" t="s">
        <v>2031</v>
      </c>
    </row>
    <row r="1453" spans="1:1" x14ac:dyDescent="0.25">
      <c r="A1453" s="4" t="s">
        <v>2032</v>
      </c>
    </row>
    <row r="1454" spans="1:1" x14ac:dyDescent="0.25">
      <c r="A1454" s="4" t="s">
        <v>2033</v>
      </c>
    </row>
    <row r="1455" spans="1:1" x14ac:dyDescent="0.25">
      <c r="A1455" s="4" t="s">
        <v>2034</v>
      </c>
    </row>
    <row r="1456" spans="1:1" x14ac:dyDescent="0.25">
      <c r="A1456" s="4" t="s">
        <v>2035</v>
      </c>
    </row>
    <row r="1457" spans="1:1" x14ac:dyDescent="0.25">
      <c r="A1457" s="4" t="s">
        <v>2036</v>
      </c>
    </row>
    <row r="1458" spans="1:1" x14ac:dyDescent="0.25">
      <c r="A1458" s="4" t="s">
        <v>2037</v>
      </c>
    </row>
    <row r="1459" spans="1:1" x14ac:dyDescent="0.25">
      <c r="A1459" s="4" t="s">
        <v>2038</v>
      </c>
    </row>
    <row r="1460" spans="1:1" x14ac:dyDescent="0.25">
      <c r="A1460" s="4" t="s">
        <v>2039</v>
      </c>
    </row>
    <row r="1461" spans="1:1" x14ac:dyDescent="0.25">
      <c r="A1461" s="4" t="s">
        <v>2040</v>
      </c>
    </row>
    <row r="1462" spans="1:1" x14ac:dyDescent="0.25">
      <c r="A1462" s="4" t="s">
        <v>2041</v>
      </c>
    </row>
    <row r="1463" spans="1:1" x14ac:dyDescent="0.25">
      <c r="A1463" s="4" t="s">
        <v>2042</v>
      </c>
    </row>
    <row r="1464" spans="1:1" x14ac:dyDescent="0.25">
      <c r="A1464" s="4" t="s">
        <v>2043</v>
      </c>
    </row>
    <row r="1465" spans="1:1" x14ac:dyDescent="0.25">
      <c r="A1465" s="4" t="s">
        <v>2044</v>
      </c>
    </row>
    <row r="1466" spans="1:1" x14ac:dyDescent="0.25">
      <c r="A1466" s="4" t="s">
        <v>2045</v>
      </c>
    </row>
    <row r="1467" spans="1:1" x14ac:dyDescent="0.25">
      <c r="A1467" s="4" t="s">
        <v>2046</v>
      </c>
    </row>
    <row r="1468" spans="1:1" x14ac:dyDescent="0.25">
      <c r="A1468" s="4" t="s">
        <v>2047</v>
      </c>
    </row>
    <row r="1469" spans="1:1" x14ac:dyDescent="0.25">
      <c r="A1469" s="4" t="s">
        <v>2048</v>
      </c>
    </row>
    <row r="1470" spans="1:1" x14ac:dyDescent="0.25">
      <c r="A1470" s="4" t="s">
        <v>2049</v>
      </c>
    </row>
    <row r="1471" spans="1:1" x14ac:dyDescent="0.25">
      <c r="A1471" s="4" t="s">
        <v>2050</v>
      </c>
    </row>
    <row r="1472" spans="1:1" x14ac:dyDescent="0.25">
      <c r="A1472" s="4" t="s">
        <v>2051</v>
      </c>
    </row>
    <row r="1473" spans="1:1" x14ac:dyDescent="0.25">
      <c r="A1473" s="4" t="s">
        <v>2052</v>
      </c>
    </row>
    <row r="1474" spans="1:1" x14ac:dyDescent="0.25">
      <c r="A1474" s="4" t="s">
        <v>2053</v>
      </c>
    </row>
    <row r="1475" spans="1:1" x14ac:dyDescent="0.25">
      <c r="A1475" s="4" t="s">
        <v>2054</v>
      </c>
    </row>
    <row r="1476" spans="1:1" x14ac:dyDescent="0.25">
      <c r="A1476" s="4" t="s">
        <v>2055</v>
      </c>
    </row>
    <row r="1477" spans="1:1" x14ac:dyDescent="0.25">
      <c r="A1477" s="4" t="s">
        <v>2056</v>
      </c>
    </row>
    <row r="1478" spans="1:1" x14ac:dyDescent="0.25">
      <c r="A1478" s="4" t="s">
        <v>2057</v>
      </c>
    </row>
    <row r="1479" spans="1:1" x14ac:dyDescent="0.25">
      <c r="A1479" s="4" t="s">
        <v>2058</v>
      </c>
    </row>
    <row r="1480" spans="1:1" x14ac:dyDescent="0.25">
      <c r="A1480" s="4" t="s">
        <v>2059</v>
      </c>
    </row>
    <row r="1481" spans="1:1" x14ac:dyDescent="0.25">
      <c r="A1481" s="4" t="s">
        <v>2060</v>
      </c>
    </row>
    <row r="1482" spans="1:1" x14ac:dyDescent="0.25">
      <c r="A1482" s="4" t="s">
        <v>2061</v>
      </c>
    </row>
    <row r="1483" spans="1:1" x14ac:dyDescent="0.25">
      <c r="A1483" s="4" t="s">
        <v>2062</v>
      </c>
    </row>
    <row r="1484" spans="1:1" x14ac:dyDescent="0.25">
      <c r="A1484" s="4" t="s">
        <v>2063</v>
      </c>
    </row>
    <row r="1485" spans="1:1" x14ac:dyDescent="0.25">
      <c r="A1485" s="4" t="s">
        <v>2064</v>
      </c>
    </row>
    <row r="1486" spans="1:1" x14ac:dyDescent="0.25">
      <c r="A1486" s="4" t="s">
        <v>2065</v>
      </c>
    </row>
    <row r="1487" spans="1:1" x14ac:dyDescent="0.25">
      <c r="A1487" s="4" t="s">
        <v>2066</v>
      </c>
    </row>
    <row r="1488" spans="1:1" x14ac:dyDescent="0.25">
      <c r="A1488" s="4" t="s">
        <v>2067</v>
      </c>
    </row>
    <row r="1489" spans="1:1" x14ac:dyDescent="0.25">
      <c r="A1489" s="4" t="s">
        <v>2068</v>
      </c>
    </row>
    <row r="1490" spans="1:1" x14ac:dyDescent="0.25">
      <c r="A1490" s="4" t="s">
        <v>2069</v>
      </c>
    </row>
    <row r="1491" spans="1:1" x14ac:dyDescent="0.25">
      <c r="A1491" s="4" t="s">
        <v>2070</v>
      </c>
    </row>
    <row r="1492" spans="1:1" x14ac:dyDescent="0.25">
      <c r="A1492" s="4" t="s">
        <v>2071</v>
      </c>
    </row>
    <row r="1493" spans="1:1" x14ac:dyDescent="0.25">
      <c r="A1493" s="4" t="s">
        <v>2072</v>
      </c>
    </row>
    <row r="1494" spans="1:1" x14ac:dyDescent="0.25">
      <c r="A1494" s="4" t="s">
        <v>2073</v>
      </c>
    </row>
    <row r="1495" spans="1:1" x14ac:dyDescent="0.25">
      <c r="A1495" s="4" t="s">
        <v>2074</v>
      </c>
    </row>
    <row r="1496" spans="1:1" x14ac:dyDescent="0.25">
      <c r="A1496" s="4" t="s">
        <v>2075</v>
      </c>
    </row>
    <row r="1497" spans="1:1" x14ac:dyDescent="0.25">
      <c r="A1497" s="4" t="s">
        <v>2076</v>
      </c>
    </row>
    <row r="1498" spans="1:1" x14ac:dyDescent="0.25">
      <c r="A1498" s="4" t="s">
        <v>2077</v>
      </c>
    </row>
    <row r="1499" spans="1:1" x14ac:dyDescent="0.25">
      <c r="A1499" s="4" t="s">
        <v>2078</v>
      </c>
    </row>
    <row r="1500" spans="1:1" x14ac:dyDescent="0.25">
      <c r="A1500" s="4" t="s">
        <v>2079</v>
      </c>
    </row>
    <row r="1501" spans="1:1" x14ac:dyDescent="0.25">
      <c r="A1501" s="4" t="s">
        <v>2080</v>
      </c>
    </row>
    <row r="1502" spans="1:1" x14ac:dyDescent="0.25">
      <c r="A1502" s="4" t="s">
        <v>2081</v>
      </c>
    </row>
    <row r="1503" spans="1:1" x14ac:dyDescent="0.25">
      <c r="A1503" s="4" t="s">
        <v>2082</v>
      </c>
    </row>
    <row r="1504" spans="1:1" x14ac:dyDescent="0.25">
      <c r="A1504" s="4" t="s">
        <v>2083</v>
      </c>
    </row>
    <row r="1505" spans="1:1" x14ac:dyDescent="0.25">
      <c r="A1505" s="4" t="s">
        <v>2084</v>
      </c>
    </row>
    <row r="1506" spans="1:1" x14ac:dyDescent="0.25">
      <c r="A1506" s="4" t="s">
        <v>2085</v>
      </c>
    </row>
    <row r="1507" spans="1:1" x14ac:dyDescent="0.25">
      <c r="A1507" s="4" t="s">
        <v>2086</v>
      </c>
    </row>
    <row r="1508" spans="1:1" x14ac:dyDescent="0.25">
      <c r="A1508" s="4" t="s">
        <v>2087</v>
      </c>
    </row>
    <row r="1509" spans="1:1" x14ac:dyDescent="0.25">
      <c r="A1509" s="4" t="s">
        <v>2088</v>
      </c>
    </row>
    <row r="1510" spans="1:1" x14ac:dyDescent="0.25">
      <c r="A1510" s="4" t="s">
        <v>2089</v>
      </c>
    </row>
    <row r="1511" spans="1:1" x14ac:dyDescent="0.25">
      <c r="A1511" s="4" t="s">
        <v>2090</v>
      </c>
    </row>
    <row r="1512" spans="1:1" x14ac:dyDescent="0.25">
      <c r="A1512" s="4" t="s">
        <v>2091</v>
      </c>
    </row>
    <row r="1513" spans="1:1" x14ac:dyDescent="0.25">
      <c r="A1513" s="4" t="s">
        <v>2092</v>
      </c>
    </row>
    <row r="1514" spans="1:1" x14ac:dyDescent="0.25">
      <c r="A1514" s="4" t="s">
        <v>2093</v>
      </c>
    </row>
    <row r="1515" spans="1:1" x14ac:dyDescent="0.25">
      <c r="A1515" s="4" t="s">
        <v>2094</v>
      </c>
    </row>
    <row r="1516" spans="1:1" x14ac:dyDescent="0.25">
      <c r="A1516" s="4" t="s">
        <v>2095</v>
      </c>
    </row>
    <row r="1517" spans="1:1" x14ac:dyDescent="0.25">
      <c r="A1517" s="4" t="s">
        <v>2096</v>
      </c>
    </row>
    <row r="1518" spans="1:1" x14ac:dyDescent="0.25">
      <c r="A1518" s="4" t="s">
        <v>2097</v>
      </c>
    </row>
    <row r="1519" spans="1:1" x14ac:dyDescent="0.25">
      <c r="A1519" s="4" t="s">
        <v>2098</v>
      </c>
    </row>
    <row r="1520" spans="1:1" x14ac:dyDescent="0.25">
      <c r="A1520" s="4" t="s">
        <v>2099</v>
      </c>
    </row>
    <row r="1521" spans="1:1" x14ac:dyDescent="0.25">
      <c r="A1521" s="4" t="s">
        <v>2100</v>
      </c>
    </row>
    <row r="1522" spans="1:1" x14ac:dyDescent="0.25">
      <c r="A1522" s="4" t="s">
        <v>2101</v>
      </c>
    </row>
    <row r="1523" spans="1:1" x14ac:dyDescent="0.25">
      <c r="A1523" s="4" t="s">
        <v>2102</v>
      </c>
    </row>
    <row r="1524" spans="1:1" x14ac:dyDescent="0.25">
      <c r="A1524" s="4" t="s">
        <v>2103</v>
      </c>
    </row>
    <row r="1525" spans="1:1" x14ac:dyDescent="0.25">
      <c r="A1525" s="4" t="s">
        <v>2104</v>
      </c>
    </row>
    <row r="1526" spans="1:1" x14ac:dyDescent="0.25">
      <c r="A1526" s="4" t="s">
        <v>2105</v>
      </c>
    </row>
    <row r="1527" spans="1:1" x14ac:dyDescent="0.25">
      <c r="A1527" s="4" t="s">
        <v>2106</v>
      </c>
    </row>
    <row r="1528" spans="1:1" x14ac:dyDescent="0.25">
      <c r="A1528" s="4" t="s">
        <v>2107</v>
      </c>
    </row>
    <row r="1529" spans="1:1" x14ac:dyDescent="0.25">
      <c r="A1529" s="4" t="s">
        <v>2108</v>
      </c>
    </row>
    <row r="1530" spans="1:1" x14ac:dyDescent="0.25">
      <c r="A1530" s="4" t="s">
        <v>2109</v>
      </c>
    </row>
    <row r="1531" spans="1:1" x14ac:dyDescent="0.25">
      <c r="A1531" s="4" t="s">
        <v>2110</v>
      </c>
    </row>
    <row r="1532" spans="1:1" x14ac:dyDescent="0.25">
      <c r="A1532" s="4" t="s">
        <v>2111</v>
      </c>
    </row>
    <row r="1533" spans="1:1" x14ac:dyDescent="0.25">
      <c r="A1533" s="4" t="s">
        <v>2112</v>
      </c>
    </row>
    <row r="1534" spans="1:1" x14ac:dyDescent="0.25">
      <c r="A1534" s="4" t="s">
        <v>2113</v>
      </c>
    </row>
  </sheetData>
  <phoneticPr fontId="12" type="noConversion"/>
  <dataValidations count="3">
    <dataValidation type="list" allowBlank="1" sqref="D2:D31 D33:D101" xr:uid="{00000000-0002-0000-0700-000001000000}">
      <formula1>"English,Nepali,Both,N/A"</formula1>
      <formula2>0</formula2>
    </dataValidation>
    <dataValidation type="list" allowBlank="1" sqref="G2:G31 G33:G101" xr:uid="{00000000-0002-0000-0700-000002000000}">
      <formula1>"High,Medium,Low"</formula1>
      <formula2>0</formula2>
    </dataValidation>
    <dataValidation type="list" allowBlank="1" sqref="H2:H31 H33:H101" xr:uid="{00000000-0002-0000-0700-000003000000}">
      <formula1>"Open,Fixed,Retest,Closed"</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700-000000000000}">
          <x14:formula1>
            <xm:f>'Test Cases'!$A$2:$A$36</xm:f>
          </x14:formula1>
          <x14:formula2>
            <xm:f>0</xm:f>
          </x14:formula2>
          <xm:sqref>C2:C101 D32:K32</xm:sqref>
        </x14:dataValidation>
        <x14:dataValidation type="list" allowBlank="1" xr:uid="{00000000-0002-0000-0700-000004000000}">
          <x14:formula1>
            <xm:f>'Module Details'!$A$2:$A$27</xm:f>
          </x14:formula1>
          <x14:formula2>
            <xm:f>0</xm:f>
          </x14:formula2>
          <xm:sqref>B2:B101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zoomScaleNormal="100" workbookViewId="0"/>
  </sheetViews>
  <sheetFormatPr defaultColWidth="8.7109375" defaultRowHeight="15" x14ac:dyDescent="0.25"/>
  <cols>
    <col min="1" max="1" width="5" customWidth="1"/>
    <col min="2" max="2" width="20" customWidth="1"/>
    <col min="3" max="3" width="80" customWidth="1"/>
    <col min="4" max="4" width="18" customWidth="1"/>
  </cols>
  <sheetData>
    <row r="1" spans="1:4" x14ac:dyDescent="0.25">
      <c r="A1" s="3" t="s">
        <v>629</v>
      </c>
      <c r="B1" s="3" t="s">
        <v>11</v>
      </c>
      <c r="C1" s="3" t="s">
        <v>630</v>
      </c>
      <c r="D1" s="3" t="s">
        <v>631</v>
      </c>
    </row>
    <row r="2" spans="1:4" x14ac:dyDescent="0.25">
      <c r="A2" s="4">
        <v>1</v>
      </c>
      <c r="B2" s="4" t="s">
        <v>22</v>
      </c>
      <c r="C2" s="4" t="s">
        <v>632</v>
      </c>
      <c r="D2" s="4" t="s">
        <v>128</v>
      </c>
    </row>
    <row r="3" spans="1:4" ht="25.5" x14ac:dyDescent="0.25">
      <c r="A3" s="4">
        <v>2</v>
      </c>
      <c r="B3" s="4" t="s">
        <v>22</v>
      </c>
      <c r="C3" s="4" t="s">
        <v>633</v>
      </c>
      <c r="D3" s="4" t="s">
        <v>59</v>
      </c>
    </row>
    <row r="4" spans="1:4" x14ac:dyDescent="0.25">
      <c r="A4" s="4">
        <v>3</v>
      </c>
      <c r="B4" s="4" t="s">
        <v>634</v>
      </c>
      <c r="C4" s="4" t="s">
        <v>635</v>
      </c>
      <c r="D4" s="4" t="s">
        <v>161</v>
      </c>
    </row>
    <row r="5" spans="1:4" ht="25.5" x14ac:dyDescent="0.25">
      <c r="A5" s="4">
        <v>4</v>
      </c>
      <c r="B5" s="4" t="s">
        <v>268</v>
      </c>
      <c r="C5" s="4" t="s">
        <v>636</v>
      </c>
      <c r="D5" s="4" t="s">
        <v>637</v>
      </c>
    </row>
    <row r="6" spans="1:4" ht="25.5" x14ac:dyDescent="0.25">
      <c r="A6" s="4">
        <v>5</v>
      </c>
      <c r="B6" s="4" t="s">
        <v>268</v>
      </c>
      <c r="C6" s="4" t="s">
        <v>638</v>
      </c>
      <c r="D6" s="4" t="s">
        <v>378</v>
      </c>
    </row>
    <row r="7" spans="1:4" x14ac:dyDescent="0.25">
      <c r="A7" s="4">
        <v>6</v>
      </c>
      <c r="B7" s="4" t="s">
        <v>268</v>
      </c>
      <c r="C7" s="4" t="s">
        <v>639</v>
      </c>
      <c r="D7" s="4" t="s">
        <v>391</v>
      </c>
    </row>
    <row r="8" spans="1:4" ht="25.5" x14ac:dyDescent="0.25">
      <c r="A8" s="4">
        <v>7</v>
      </c>
      <c r="B8" s="4" t="s">
        <v>268</v>
      </c>
      <c r="C8" s="4" t="s">
        <v>640</v>
      </c>
      <c r="D8" s="4" t="s">
        <v>641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How to Use</vt:lpstr>
      <vt:lpstr>Summary</vt:lpstr>
      <vt:lpstr>Test Cases</vt:lpstr>
      <vt:lpstr>Test Matrix</vt:lpstr>
      <vt:lpstr>Module Details</vt:lpstr>
      <vt:lpstr>Authentication</vt:lpstr>
      <vt:lpstr>Auth Settings</vt:lpstr>
      <vt:lpstr>Bug Log</vt:lpstr>
      <vt:lpstr>Issues to Verify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Sandy Mon</cp:lastModifiedBy>
  <cp:revision>0</cp:revision>
  <dcterms:created xsi:type="dcterms:W3CDTF">2026-09-28T07:23:42Z</dcterms:created>
  <dcterms:modified xsi:type="dcterms:W3CDTF">2026-10-03T08:56:00Z</dcterms:modified>
  <cp:category/>
  <cp:contentStatus/>
</cp:coreProperties>
</file>